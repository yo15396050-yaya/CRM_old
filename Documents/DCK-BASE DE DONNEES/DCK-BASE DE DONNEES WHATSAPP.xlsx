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CK OFFICE MANAGER\Documents\DCK-BASE DE DONNEES\"/>
    </mc:Choice>
  </mc:AlternateContent>
  <xr:revisionPtr revIDLastSave="0" documentId="13_ncr:1_{8409188F-2A0E-4106-8C7B-FD3716ED52B5}" xr6:coauthVersionLast="47" xr6:coauthVersionMax="47" xr10:uidLastSave="{00000000-0000-0000-0000-000000000000}"/>
  <bookViews>
    <workbookView xWindow="1125" yWindow="1125" windowWidth="9645" windowHeight="9705" xr2:uid="{3DAFF167-4DA8-4E2B-80A9-C154E08966D4}"/>
  </bookViews>
  <sheets>
    <sheet name="E-impôts" sheetId="1" r:id="rId1"/>
    <sheet name="Feuil2" sheetId="5" r:id="rId2"/>
    <sheet name="Feuil1" sheetId="4" r:id="rId3"/>
  </sheets>
  <externalReferences>
    <externalReference r:id="rId4"/>
  </externalReferences>
  <definedNames>
    <definedName name="_xlnm._FilterDatabase" localSheetId="0" hidden="1">'E-impôts'!$A$1:$P$329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2" i="1"/>
  <c r="O3" i="1"/>
  <c r="O4" i="1"/>
  <c r="O8" i="1"/>
  <c r="O11" i="1"/>
  <c r="O12" i="1"/>
  <c r="O13" i="1"/>
  <c r="O16" i="1"/>
  <c r="O20" i="1"/>
  <c r="O21" i="1"/>
  <c r="O22" i="1"/>
  <c r="O23" i="1"/>
  <c r="O24" i="1"/>
  <c r="O26" i="1"/>
  <c r="O27" i="1"/>
  <c r="O28" i="1"/>
  <c r="O29" i="1"/>
  <c r="O30" i="1"/>
  <c r="O31" i="1"/>
  <c r="O32" i="1"/>
  <c r="O33" i="1"/>
  <c r="O34" i="1"/>
  <c r="O36" i="1"/>
  <c r="O37" i="1"/>
  <c r="O38" i="1"/>
  <c r="O39" i="1"/>
  <c r="O40" i="1"/>
  <c r="O41" i="1"/>
  <c r="O42" i="1"/>
  <c r="O43" i="1"/>
  <c r="O44" i="1"/>
  <c r="O46" i="1"/>
  <c r="O47" i="1"/>
  <c r="O48" i="1"/>
  <c r="O49" i="1"/>
  <c r="O50" i="1"/>
  <c r="O51" i="1"/>
  <c r="O52" i="1"/>
  <c r="O53" i="1"/>
  <c r="O54" i="1"/>
  <c r="O56" i="1"/>
  <c r="O57" i="1"/>
  <c r="O58" i="1"/>
  <c r="O59" i="1"/>
  <c r="O60" i="1"/>
  <c r="O63" i="1"/>
  <c r="O64" i="1"/>
  <c r="O65" i="1"/>
  <c r="O66" i="1"/>
  <c r="O68" i="1"/>
  <c r="O69" i="1"/>
  <c r="O70" i="1"/>
  <c r="O71" i="1"/>
  <c r="O73" i="1"/>
  <c r="O74" i="1"/>
  <c r="O75" i="1"/>
  <c r="O77" i="1"/>
  <c r="O78" i="1"/>
  <c r="O79" i="1"/>
  <c r="O80" i="1"/>
  <c r="O81" i="1"/>
  <c r="O82" i="1"/>
  <c r="O83" i="1"/>
  <c r="O84" i="1"/>
  <c r="O85" i="1"/>
  <c r="O86" i="1"/>
  <c r="O87" i="1"/>
  <c r="O89" i="1"/>
  <c r="O90" i="1"/>
  <c r="O91" i="1"/>
  <c r="O92" i="1"/>
  <c r="O93" i="1"/>
  <c r="O94" i="1"/>
  <c r="O95" i="1"/>
  <c r="O96" i="1"/>
  <c r="O97" i="1"/>
  <c r="O98" i="1"/>
  <c r="O99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2" i="1"/>
  <c r="L102" i="1"/>
  <c r="L103" i="1"/>
  <c r="L101" i="1"/>
  <c r="L1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2" i="1"/>
  <c r="I3" i="1"/>
  <c r="I4" i="1"/>
  <c r="I5" i="1"/>
  <c r="I7" i="1"/>
  <c r="I8" i="1"/>
  <c r="I9" i="1"/>
  <c r="I11" i="1"/>
  <c r="I12" i="1"/>
  <c r="I13" i="1"/>
  <c r="I14" i="1"/>
  <c r="I15" i="1"/>
  <c r="I16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9" i="1"/>
  <c r="I130" i="1"/>
  <c r="I131" i="1"/>
  <c r="I132" i="1"/>
  <c r="I134" i="1"/>
  <c r="I135" i="1"/>
  <c r="I136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6" i="1"/>
  <c r="I157" i="1"/>
  <c r="I158" i="1"/>
  <c r="I159" i="1"/>
  <c r="I161" i="1"/>
  <c r="I162" i="1"/>
  <c r="I163" i="1"/>
  <c r="I164" i="1"/>
  <c r="I165" i="1"/>
  <c r="I166" i="1"/>
  <c r="I167" i="1"/>
  <c r="I169" i="1"/>
  <c r="I170" i="1"/>
  <c r="I171" i="1"/>
  <c r="I172" i="1"/>
  <c r="I173" i="1"/>
  <c r="I174" i="1"/>
  <c r="I175" i="1"/>
  <c r="I176" i="1"/>
  <c r="I177" i="1"/>
  <c r="I178" i="1"/>
  <c r="I179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200" i="1"/>
  <c r="I201" i="1"/>
  <c r="I202" i="1"/>
  <c r="I203" i="1"/>
  <c r="I204" i="1"/>
  <c r="I205" i="1"/>
  <c r="I206" i="1"/>
  <c r="I207" i="1"/>
  <c r="I208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3" i="1"/>
  <c r="I244" i="1"/>
  <c r="I245" i="1"/>
  <c r="I246" i="1"/>
  <c r="I247" i="1"/>
  <c r="I248" i="1"/>
  <c r="I249" i="1"/>
  <c r="I250" i="1"/>
  <c r="I252" i="1"/>
  <c r="I253" i="1"/>
  <c r="I254" i="1"/>
  <c r="I255" i="1"/>
  <c r="I258" i="1"/>
  <c r="I259" i="1"/>
  <c r="I260" i="1"/>
  <c r="I263" i="1"/>
  <c r="I264" i="1"/>
  <c r="I265" i="1"/>
  <c r="I266" i="1"/>
  <c r="I267" i="1"/>
  <c r="I268" i="1"/>
  <c r="J1" i="1" s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2" i="1"/>
  <c r="I323" i="1"/>
  <c r="I324" i="1"/>
  <c r="I325" i="1"/>
  <c r="I326" i="1"/>
  <c r="I327" i="1"/>
  <c r="I328" i="1"/>
  <c r="I32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2" i="1"/>
  <c r="C11" i="1"/>
  <c r="C17" i="1"/>
  <c r="C21" i="1"/>
  <c r="C33" i="1"/>
  <c r="C42" i="1"/>
  <c r="C44" i="1"/>
  <c r="C47" i="1"/>
  <c r="C48" i="1"/>
  <c r="C49" i="1"/>
  <c r="C50" i="1"/>
  <c r="C52" i="1"/>
  <c r="C56" i="1"/>
  <c r="C59" i="1"/>
  <c r="C69" i="1"/>
  <c r="C70" i="1"/>
  <c r="C71" i="1"/>
  <c r="C75" i="1"/>
  <c r="C77" i="1"/>
  <c r="C78" i="1"/>
  <c r="C80" i="1"/>
  <c r="C83" i="1"/>
  <c r="C84" i="1"/>
  <c r="C85" i="1"/>
  <c r="C86" i="1"/>
  <c r="C87" i="1"/>
  <c r="C90" i="1"/>
  <c r="C93" i="1"/>
  <c r="C95" i="1"/>
  <c r="C96" i="1"/>
  <c r="C98" i="1"/>
  <c r="D298" i="5"/>
  <c r="D297" i="5"/>
  <c r="D296" i="5"/>
  <c r="D295" i="5"/>
  <c r="D294" i="5"/>
  <c r="D293" i="5"/>
  <c r="D292" i="5"/>
  <c r="D291" i="5"/>
  <c r="C5" i="1" s="1"/>
  <c r="D290" i="5"/>
  <c r="D289" i="5"/>
  <c r="D288" i="5"/>
  <c r="D287" i="5"/>
  <c r="D286" i="5"/>
  <c r="D285" i="5"/>
  <c r="C92" i="1" s="1"/>
  <c r="D284" i="5"/>
  <c r="C35" i="1" s="1"/>
  <c r="D283" i="5"/>
  <c r="D282" i="5"/>
  <c r="D281" i="5"/>
  <c r="D280" i="5"/>
  <c r="D279" i="5"/>
  <c r="D278" i="5"/>
  <c r="D277" i="5"/>
  <c r="C38" i="1" s="1"/>
  <c r="D276" i="5"/>
  <c r="D275" i="5"/>
  <c r="D274" i="5"/>
  <c r="D273" i="5"/>
  <c r="D272" i="5"/>
  <c r="D271" i="5"/>
  <c r="D270" i="5"/>
  <c r="D269" i="5"/>
  <c r="D268" i="5"/>
  <c r="D267" i="5"/>
  <c r="D266" i="5"/>
  <c r="D265" i="5"/>
  <c r="C3" i="1" s="1"/>
  <c r="D264" i="5"/>
  <c r="D263" i="5"/>
  <c r="D262" i="5"/>
  <c r="D261" i="5"/>
  <c r="C74" i="1" s="1"/>
  <c r="D260" i="5"/>
  <c r="D259" i="5"/>
  <c r="D258" i="5"/>
  <c r="D257" i="5"/>
  <c r="D256" i="5"/>
  <c r="C26" i="1" s="1"/>
  <c r="D255" i="5"/>
  <c r="C40" i="1" s="1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C66" i="1" s="1"/>
  <c r="D241" i="5"/>
  <c r="D240" i="5"/>
  <c r="D239" i="5"/>
  <c r="D238" i="5"/>
  <c r="D237" i="5"/>
  <c r="D236" i="5"/>
  <c r="D235" i="5"/>
  <c r="D234" i="5"/>
  <c r="C51" i="1" s="1"/>
  <c r="D233" i="5"/>
  <c r="C30" i="1" s="1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C91" i="1" s="1"/>
  <c r="D214" i="5"/>
  <c r="D213" i="5"/>
  <c r="D212" i="5"/>
  <c r="C20" i="1" s="1"/>
  <c r="D211" i="5"/>
  <c r="D210" i="5"/>
  <c r="C23" i="1" s="1"/>
  <c r="D209" i="5"/>
  <c r="C32" i="1" s="1"/>
  <c r="D208" i="5"/>
  <c r="D207" i="5"/>
  <c r="C27" i="1" s="1"/>
  <c r="D206" i="5"/>
  <c r="C29" i="1" s="1"/>
  <c r="D205" i="5"/>
  <c r="D204" i="5"/>
  <c r="C57" i="1" s="1"/>
  <c r="D203" i="5"/>
  <c r="C34" i="1" s="1"/>
  <c r="D202" i="5"/>
  <c r="D201" i="5"/>
  <c r="D200" i="5"/>
  <c r="C58" i="1" s="1"/>
  <c r="D199" i="5"/>
  <c r="D198" i="5"/>
  <c r="D197" i="5"/>
  <c r="D196" i="5"/>
  <c r="D195" i="5"/>
  <c r="D194" i="5"/>
  <c r="D193" i="5"/>
  <c r="D192" i="5"/>
  <c r="C45" i="1" s="1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C54" i="1" s="1"/>
  <c r="D171" i="5"/>
  <c r="C31" i="1" s="1"/>
  <c r="D170" i="5"/>
  <c r="C64" i="1" s="1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C8" i="1" s="1"/>
  <c r="D153" i="5"/>
  <c r="C13" i="1" s="1"/>
  <c r="D152" i="5"/>
  <c r="C22" i="1" s="1"/>
  <c r="D151" i="5"/>
  <c r="C24" i="1" s="1"/>
  <c r="D150" i="5"/>
  <c r="C28" i="1" s="1"/>
  <c r="D149" i="5"/>
  <c r="C36" i="1" s="1"/>
  <c r="D148" i="5"/>
  <c r="C39" i="1" s="1"/>
  <c r="D147" i="5"/>
  <c r="D146" i="5"/>
  <c r="C41" i="1" s="1"/>
  <c r="D145" i="5"/>
  <c r="C60" i="1" s="1"/>
  <c r="D144" i="5"/>
  <c r="C68" i="1" s="1"/>
  <c r="D143" i="5"/>
  <c r="C79" i="1" s="1"/>
  <c r="D142" i="5"/>
  <c r="C81" i="1" s="1"/>
  <c r="D141" i="5"/>
  <c r="C97" i="1" s="1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C2" i="1" s="1"/>
  <c r="D104" i="5"/>
  <c r="C4" i="1" s="1"/>
  <c r="D103" i="5"/>
  <c r="C43" i="1" s="1"/>
  <c r="D102" i="5"/>
  <c r="D101" i="5"/>
  <c r="D100" i="5"/>
  <c r="C82" i="1" s="1"/>
  <c r="D99" i="5"/>
  <c r="D98" i="5"/>
  <c r="D97" i="5"/>
  <c r="D96" i="5"/>
  <c r="D95" i="5"/>
  <c r="C53" i="1" s="1"/>
  <c r="D94" i="5"/>
  <c r="D93" i="5"/>
  <c r="C16" i="1" s="1"/>
  <c r="D92" i="5"/>
  <c r="D91" i="5"/>
  <c r="D90" i="5"/>
  <c r="C37" i="1" s="1"/>
  <c r="D89" i="5"/>
  <c r="D88" i="5"/>
  <c r="D87" i="5"/>
  <c r="D86" i="5"/>
  <c r="D85" i="5"/>
  <c r="D84" i="5"/>
  <c r="D83" i="5"/>
  <c r="D82" i="5"/>
  <c r="D81" i="5"/>
  <c r="D80" i="5"/>
  <c r="C99" i="1" s="1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C46" i="1" s="1"/>
  <c r="D56" i="5"/>
  <c r="C94" i="1" s="1"/>
  <c r="D55" i="5"/>
  <c r="D54" i="5"/>
  <c r="D53" i="5"/>
  <c r="D52" i="5"/>
  <c r="D51" i="5"/>
  <c r="D50" i="5"/>
  <c r="C25" i="1" s="1"/>
  <c r="D49" i="5"/>
  <c r="D48" i="5"/>
  <c r="C67" i="1" s="1"/>
  <c r="D47" i="5"/>
  <c r="C61" i="1" s="1"/>
  <c r="D46" i="5"/>
  <c r="D45" i="5"/>
  <c r="D44" i="5"/>
  <c r="D43" i="5"/>
  <c r="D42" i="5"/>
  <c r="D41" i="5"/>
  <c r="D40" i="5"/>
  <c r="C62" i="1" s="1"/>
  <c r="D39" i="5"/>
  <c r="C12" i="1" s="1"/>
  <c r="D38" i="5"/>
  <c r="C55" i="1" s="1"/>
  <c r="D37" i="5"/>
  <c r="D36" i="5"/>
  <c r="C76" i="1" s="1"/>
  <c r="D35" i="5"/>
  <c r="C65" i="1" s="1"/>
  <c r="D34" i="5"/>
  <c r="D33" i="5"/>
  <c r="D32" i="5"/>
  <c r="D31" i="5"/>
  <c r="D30" i="5"/>
  <c r="D29" i="5"/>
  <c r="D28" i="5"/>
  <c r="D27" i="5"/>
  <c r="C63" i="1" s="1"/>
  <c r="D26" i="5"/>
  <c r="C15" i="1" s="1"/>
  <c r="D25" i="5"/>
  <c r="D24" i="5"/>
  <c r="C19" i="1" s="1"/>
  <c r="D23" i="5"/>
  <c r="C14" i="1" s="1"/>
  <c r="D22" i="5"/>
  <c r="D21" i="5"/>
  <c r="D20" i="5"/>
  <c r="D19" i="5"/>
  <c r="D18" i="5"/>
  <c r="D17" i="5"/>
  <c r="C7" i="1" s="1"/>
  <c r="D16" i="5"/>
  <c r="C9" i="1" s="1"/>
  <c r="D15" i="5"/>
  <c r="D14" i="5"/>
  <c r="D13" i="5"/>
  <c r="C88" i="1" s="1"/>
  <c r="D12" i="5"/>
  <c r="C10" i="1" s="1"/>
  <c r="D11" i="5"/>
  <c r="D10" i="5"/>
  <c r="D9" i="5"/>
  <c r="C89" i="1" s="1"/>
  <c r="D8" i="5"/>
  <c r="C18" i="1" s="1"/>
  <c r="D7" i="5"/>
  <c r="C72" i="1" s="1"/>
  <c r="D6" i="5"/>
  <c r="C6" i="1" s="1"/>
  <c r="D5" i="5"/>
  <c r="D4" i="5"/>
  <c r="D3" i="5"/>
  <c r="D2" i="5"/>
  <c r="C73" i="1" l="1"/>
</calcChain>
</file>

<file path=xl/sharedStrings.xml><?xml version="1.0" encoding="utf-8"?>
<sst xmlns="http://schemas.openxmlformats.org/spreadsheetml/2006/main" count="16834" uniqueCount="2416">
  <si>
    <t>1850348X</t>
  </si>
  <si>
    <t>5 PAINS ET 2 POISSONS</t>
  </si>
  <si>
    <t>2304047J</t>
  </si>
  <si>
    <t>2TK &amp; ASSOCIES</t>
  </si>
  <si>
    <t>2037325R</t>
  </si>
  <si>
    <t>2N IMMOBILIER</t>
  </si>
  <si>
    <t>2244766Y</t>
  </si>
  <si>
    <t>ZOUE SEA ESTELLE</t>
  </si>
  <si>
    <t>1507261D</t>
  </si>
  <si>
    <t>ZANGRE HAROUNA</t>
  </si>
  <si>
    <t>0514603E</t>
  </si>
  <si>
    <t>ZALLE MAHAMOUD</t>
  </si>
  <si>
    <t>1709117F</t>
  </si>
  <si>
    <t>YONH LAINE THEOPHILE</t>
  </si>
  <si>
    <t>0709432N</t>
  </si>
  <si>
    <t>YIRA SIAKA</t>
  </si>
  <si>
    <t>9410895U</t>
  </si>
  <si>
    <t>YERE LOU EPSE YACE Nenenan Blandine</t>
  </si>
  <si>
    <t>0800398U</t>
  </si>
  <si>
    <t>YEBOUE EPSE BOUAH ADJOUA IRENE</t>
  </si>
  <si>
    <t>1865233X</t>
  </si>
  <si>
    <t>YAPO YAPO GHISLAIN CYRILLE</t>
  </si>
  <si>
    <t>1345558K</t>
  </si>
  <si>
    <t>YAO N'GUESSAN ANGE-FABRICE</t>
  </si>
  <si>
    <t>1212885P</t>
  </si>
  <si>
    <t>YAO N'Guessan Adele Epse Djedje</t>
  </si>
  <si>
    <t>1900445C</t>
  </si>
  <si>
    <t>YAO N'DRI FRANCK AIME</t>
  </si>
  <si>
    <t>2242835K</t>
  </si>
  <si>
    <t>YANKAN-MO</t>
  </si>
  <si>
    <t>1800364N</t>
  </si>
  <si>
    <t>YAKIME DESIGN</t>
  </si>
  <si>
    <t>1827528R</t>
  </si>
  <si>
    <t>YAGUERA &amp; COMPAGNIE</t>
  </si>
  <si>
    <t>0714977C</t>
  </si>
  <si>
    <t>YACE EMMANUELLE</t>
  </si>
  <si>
    <t>2240985C</t>
  </si>
  <si>
    <t>X-YOLO</t>
  </si>
  <si>
    <t>1709973R</t>
  </si>
  <si>
    <t>WILSEM CONSULTING</t>
  </si>
  <si>
    <t>1849567E</t>
  </si>
  <si>
    <t>WEST AFRICA FOOD AS-AGRILAND</t>
  </si>
  <si>
    <t>2300875R</t>
  </si>
  <si>
    <t>WELDING VISION COTE D'IVOIRE</t>
  </si>
  <si>
    <t>2242769N</t>
  </si>
  <si>
    <t>VK SERVICES PLUS</t>
  </si>
  <si>
    <t>2243769Z</t>
  </si>
  <si>
    <t>VIDAS GROUP HOLDING</t>
  </si>
  <si>
    <t>1906134N</t>
  </si>
  <si>
    <t>UNIDIS INTER</t>
  </si>
  <si>
    <t>2303775P</t>
  </si>
  <si>
    <t>TRAZIE LOU NABOUE NADEGE</t>
  </si>
  <si>
    <t>0313308U</t>
  </si>
  <si>
    <t>TRAZIE Houlie Lucie</t>
  </si>
  <si>
    <t>2016878X</t>
  </si>
  <si>
    <t>TRAN TRONG HOANG</t>
  </si>
  <si>
    <t>2244784P</t>
  </si>
  <si>
    <t>TRADE OF ROYAL MAX</t>
  </si>
  <si>
    <t>1707216G</t>
  </si>
  <si>
    <t>TOUNDE QUICAILLERIE</t>
  </si>
  <si>
    <t>2245408S</t>
  </si>
  <si>
    <t>TENAN GROUP</t>
  </si>
  <si>
    <t>0720702T</t>
  </si>
  <si>
    <t>TANOH EPSE AKOUASSA AFFOUE</t>
  </si>
  <si>
    <t>1810218D</t>
  </si>
  <si>
    <t>TALENT SCHOOL OF BUSINESS</t>
  </si>
  <si>
    <t>2300836U</t>
  </si>
  <si>
    <t>SYNERGY PHARMA</t>
  </si>
  <si>
    <t>2019321T</t>
  </si>
  <si>
    <t>SYMBIOZ IMMOBILIER</t>
  </si>
  <si>
    <t>2190423P</t>
  </si>
  <si>
    <t>STENO GROUP</t>
  </si>
  <si>
    <t>1430635S</t>
  </si>
  <si>
    <t>STE DE PRODUCTION ET DE DISTRI</t>
  </si>
  <si>
    <t>1336628G</t>
  </si>
  <si>
    <t>SORO FOUNGNIGUE</t>
  </si>
  <si>
    <t>2241904N</t>
  </si>
  <si>
    <t>SOFT INGENIERIE</t>
  </si>
  <si>
    <t>1916804Q</t>
  </si>
  <si>
    <t>SOCIETE IVOIRIENNE DE VENTES D</t>
  </si>
  <si>
    <t>1101308N</t>
  </si>
  <si>
    <t>SOCIETE D'ETUDES TRAVAUX MAINT</t>
  </si>
  <si>
    <t>2165858D</t>
  </si>
  <si>
    <t>SOCIETE DE TRANSPORT MAMADOU ET FRERES</t>
  </si>
  <si>
    <t>2193133B</t>
  </si>
  <si>
    <t>SOCIETE DE PRODUCTION DE VENTE ET DE MULTISERVICES SARL</t>
  </si>
  <si>
    <t>2301374V</t>
  </si>
  <si>
    <t>SOCIETE DE MENUISERIE ALIMINIUM ET DIVERS</t>
  </si>
  <si>
    <t>2244612N</t>
  </si>
  <si>
    <t>SOCIETE DE MAINTENANCE ET D'INGENIERIE</t>
  </si>
  <si>
    <t>1820448E</t>
  </si>
  <si>
    <t>SN HAXEDYN</t>
  </si>
  <si>
    <t>2176405T</t>
  </si>
  <si>
    <t>SISSAKO ISSOUFOU</t>
  </si>
  <si>
    <t>2241940M</t>
  </si>
  <si>
    <t>SINEQUANONE SERVICE</t>
  </si>
  <si>
    <t>1107962T</t>
  </si>
  <si>
    <t>SIDI MOHAMED OULD MOUSTAPHA</t>
  </si>
  <si>
    <t>1230931S</t>
  </si>
  <si>
    <t>SEYDOU SANOGO</t>
  </si>
  <si>
    <t>2130592L</t>
  </si>
  <si>
    <t>SENY ISSELKOU BECHIRY</t>
  </si>
  <si>
    <t>2245374G</t>
  </si>
  <si>
    <t>SAYNI &amp; SON</t>
  </si>
  <si>
    <t>0515481M</t>
  </si>
  <si>
    <t>SAWADOGO KARIM</t>
  </si>
  <si>
    <t>2196217J</t>
  </si>
  <si>
    <t>SANTE &amp; SECURITE AU TRAVAIL</t>
  </si>
  <si>
    <t>2302164F</t>
  </si>
  <si>
    <t>SANGARE MOHAMED</t>
  </si>
  <si>
    <t>0042414S</t>
  </si>
  <si>
    <t>SAGNON ASSITAN EPSE Sanganoko Mamadou</t>
  </si>
  <si>
    <t>2243629K</t>
  </si>
  <si>
    <t>RAYANE DECO +</t>
  </si>
  <si>
    <t>2300931U</t>
  </si>
  <si>
    <t>RADAH ESTATE AND BUILDING</t>
  </si>
  <si>
    <t>1995089N</t>
  </si>
  <si>
    <t>PROSPERITE ENTREPRISE</t>
  </si>
  <si>
    <t>2244195W</t>
  </si>
  <si>
    <t>PRESTIGE INNOV</t>
  </si>
  <si>
    <t>2114065J</t>
  </si>
  <si>
    <t>POSY SECURITY AND SERVICES</t>
  </si>
  <si>
    <t>1745011T</t>
  </si>
  <si>
    <t>POHAN KEMOANFOUOGNON AUGUSTE</t>
  </si>
  <si>
    <t>2243368K</t>
  </si>
  <si>
    <t>PIZZA PIQUE VITE</t>
  </si>
  <si>
    <t>1927845K</t>
  </si>
  <si>
    <t>PHILIPPE INES GROUPE</t>
  </si>
  <si>
    <t>1601549L</t>
  </si>
  <si>
    <t>PHARMA 7</t>
  </si>
  <si>
    <t>2136391L</t>
  </si>
  <si>
    <t>PERFORM WAVE CONSULTING</t>
  </si>
  <si>
    <t>1985094H</t>
  </si>
  <si>
    <t>PECAM-SN SERVICES</t>
  </si>
  <si>
    <t>2193152N</t>
  </si>
  <si>
    <t>PANDA GROUP 225 SARL</t>
  </si>
  <si>
    <t>2016975Q</t>
  </si>
  <si>
    <t>OZZY A-TRANSPORT</t>
  </si>
  <si>
    <t>1304077C</t>
  </si>
  <si>
    <t>OULD AMAR AHMED</t>
  </si>
  <si>
    <t>1414480Q</t>
  </si>
  <si>
    <t>OUEDRAOGO YOUSSOUF(ETS O.Y)</t>
  </si>
  <si>
    <t>2242082Y</t>
  </si>
  <si>
    <t>OUATTARA AYOUBA</t>
  </si>
  <si>
    <t>0194302G</t>
  </si>
  <si>
    <t>ORSOT Bosson Josephine Laure</t>
  </si>
  <si>
    <t>1947542X</t>
  </si>
  <si>
    <t>OREMUS SERVICES</t>
  </si>
  <si>
    <t>1913158U</t>
  </si>
  <si>
    <t>ONYX GROUP PUDER</t>
  </si>
  <si>
    <t>0510821Y</t>
  </si>
  <si>
    <t>OLALEKAN DAVID OLALEKAN</t>
  </si>
  <si>
    <t>2144859H</t>
  </si>
  <si>
    <t>OKEY GROUP</t>
  </si>
  <si>
    <t>2242840T</t>
  </si>
  <si>
    <t>OILFIELD ENGINEERING AND SERVICES GROUP SARL</t>
  </si>
  <si>
    <t>2110932L</t>
  </si>
  <si>
    <t>O' D'AFRIQUE</t>
  </si>
  <si>
    <t>2033895A</t>
  </si>
  <si>
    <t>N3H IMMOBILIER CÔTE D'IVOIRE</t>
  </si>
  <si>
    <t>2401945K</t>
  </si>
  <si>
    <t>NOVATEL TECHNOLOGY</t>
  </si>
  <si>
    <t>2305435H</t>
  </si>
  <si>
    <t>NOKOMA GROUP</t>
  </si>
  <si>
    <t>2151700M</t>
  </si>
  <si>
    <t>NJIR INVEST S.A.R.L</t>
  </si>
  <si>
    <t>2301751W</t>
  </si>
  <si>
    <t>NICKO EXAUCEE</t>
  </si>
  <si>
    <t>0310365V</t>
  </si>
  <si>
    <t>1307492V</t>
  </si>
  <si>
    <t>N'GUESSAN ATTIEGOUA ANNE ELLA</t>
  </si>
  <si>
    <t>1619903H</t>
  </si>
  <si>
    <t>NEDJMA SARLU</t>
  </si>
  <si>
    <t>1748908X</t>
  </si>
  <si>
    <t>N'DAH AFFOUE JOSIANE</t>
  </si>
  <si>
    <t>2304040S</t>
  </si>
  <si>
    <t>NAOMI TRANSPORT</t>
  </si>
  <si>
    <t>2109934S</t>
  </si>
  <si>
    <t>NAME CI</t>
  </si>
  <si>
    <t>2023515A</t>
  </si>
  <si>
    <t>MULTISERVICES</t>
  </si>
  <si>
    <t>2213255G</t>
  </si>
  <si>
    <t>MOVATEC</t>
  </si>
  <si>
    <t>2213711Z</t>
  </si>
  <si>
    <t>MOHAMED ZEINI OULD</t>
  </si>
  <si>
    <t>1905397V</t>
  </si>
  <si>
    <t>MOHAMED AMAR MOHAMED LEMIN</t>
  </si>
  <si>
    <t>9819464H</t>
  </si>
  <si>
    <t>MLE MASSEMORY FOFANA (ETS MAFODI)</t>
  </si>
  <si>
    <t>2164413N</t>
  </si>
  <si>
    <t>MIWA ENTREPRISE SARL</t>
  </si>
  <si>
    <t>2242477J</t>
  </si>
  <si>
    <t>MITA PRODUCTION SARL</t>
  </si>
  <si>
    <t>1732648R</t>
  </si>
  <si>
    <t>MINES IMPORT-EXPORT</t>
  </si>
  <si>
    <t>1811111F</t>
  </si>
  <si>
    <t>MINA</t>
  </si>
  <si>
    <t>1826181D</t>
  </si>
  <si>
    <t>MILRAMA CORPORATION</t>
  </si>
  <si>
    <t>2224403Z</t>
  </si>
  <si>
    <t>MIGHTY SPIRIT GROUP</t>
  </si>
  <si>
    <t>2305634U</t>
  </si>
  <si>
    <t>MESSOU AGBAGNI DANIEL</t>
  </si>
  <si>
    <t>2052957S</t>
  </si>
  <si>
    <t>MENEY SERVICE ET PRESTATION</t>
  </si>
  <si>
    <t>2300318E</t>
  </si>
  <si>
    <t>MEDIATEL MULTIMEDIA</t>
  </si>
  <si>
    <t>1848732A</t>
  </si>
  <si>
    <t>MASSIDOU ALANI</t>
  </si>
  <si>
    <t>0416033K</t>
  </si>
  <si>
    <t>MAROUNI PATRICIA "GHAZI DIFFUSION"</t>
  </si>
  <si>
    <t>4272107A</t>
  </si>
  <si>
    <t>MANDIOBA N'GONDIÉ SOLANGE</t>
  </si>
  <si>
    <t>2302745Y</t>
  </si>
  <si>
    <t>MADAME AFRIQUE SARL</t>
  </si>
  <si>
    <t>1610167H</t>
  </si>
  <si>
    <t>MACONNERIE TRAVAUX BATIMENT ET TRAVAUX PUBLIC TRANSPORT</t>
  </si>
  <si>
    <t>1809549M</t>
  </si>
  <si>
    <t>MABARA SERVICES</t>
  </si>
  <si>
    <t>1924003Q</t>
  </si>
  <si>
    <t>M. COMPANY</t>
  </si>
  <si>
    <t>2242412G</t>
  </si>
  <si>
    <t>LOTUS PHARMA SARL</t>
  </si>
  <si>
    <t>2040756Q</t>
  </si>
  <si>
    <t>LOTUS CORPORATION LTD</t>
  </si>
  <si>
    <t>1745826Z</t>
  </si>
  <si>
    <t>LOHMAS GROUP</t>
  </si>
  <si>
    <t>8802898C</t>
  </si>
  <si>
    <t>LOGBY CASIMIR ROBERT</t>
  </si>
  <si>
    <t>2305129T</t>
  </si>
  <si>
    <t>LIZ MARIN</t>
  </si>
  <si>
    <t>1972934R</t>
  </si>
  <si>
    <t>LENCRE BLEUE*SUMMUM GROUPE COTE D'IVOIRE</t>
  </si>
  <si>
    <t>2164509F</t>
  </si>
  <si>
    <t>LEADER WORLD PERFECT</t>
  </si>
  <si>
    <t>2304040A</t>
  </si>
  <si>
    <t>LE DRESSING</t>
  </si>
  <si>
    <t>1703359T</t>
  </si>
  <si>
    <t>LA NOTE ROYALE</t>
  </si>
  <si>
    <t>1815866Q</t>
  </si>
  <si>
    <t>LA LOLITA</t>
  </si>
  <si>
    <t>0510297B</t>
  </si>
  <si>
    <t>KOUKOUGNON Ozigbi Josiane</t>
  </si>
  <si>
    <t>1907823J</t>
  </si>
  <si>
    <t>KOUASSI KOUADJO</t>
  </si>
  <si>
    <t>1552541S</t>
  </si>
  <si>
    <t>KOUAME TCHOUOI EPSE MENEY(ETS BEKY)</t>
  </si>
  <si>
    <t>1220791C</t>
  </si>
  <si>
    <t>KOUAME KONAN FIRMIN (HORIZON TECHNO)</t>
  </si>
  <si>
    <t>1648392M</t>
  </si>
  <si>
    <t>KOUAME FIENI MYRIAME-CHRISTELLE</t>
  </si>
  <si>
    <t>1235972U</t>
  </si>
  <si>
    <t>KOUAME DANSO ATTA</t>
  </si>
  <si>
    <t>1854419X</t>
  </si>
  <si>
    <t>KOUAME AYA SIDONIE</t>
  </si>
  <si>
    <t>1700266X</t>
  </si>
  <si>
    <t>KOUAME AKISSI CECILE (AHEKPA</t>
  </si>
  <si>
    <t>1107976Z</t>
  </si>
  <si>
    <t>KOUADJO HERMANCE PIERRETTE N'DJATHBIA</t>
  </si>
  <si>
    <t>1728145D</t>
  </si>
  <si>
    <t>KORHA SARL</t>
  </si>
  <si>
    <t>1631770J</t>
  </si>
  <si>
    <t>KONE NILA ABY</t>
  </si>
  <si>
    <t>9320617R</t>
  </si>
  <si>
    <t>KONE KARIDIATA</t>
  </si>
  <si>
    <t>0327661K</t>
  </si>
  <si>
    <t>KONE ASSIATA</t>
  </si>
  <si>
    <t>0323332D</t>
  </si>
  <si>
    <t>KONATE Harouna</t>
  </si>
  <si>
    <t>0900987F</t>
  </si>
  <si>
    <t>KONAN KOUADIO CHRISTIAN(KOMODE CRISTAL)</t>
  </si>
  <si>
    <t>1602307K</t>
  </si>
  <si>
    <t>KOFFI GABOUET BEHIBRO ALFRED</t>
  </si>
  <si>
    <t>0902691C</t>
  </si>
  <si>
    <t>KOBELEGNAN NARBASSONGUY OLGA</t>
  </si>
  <si>
    <t>1842168F</t>
  </si>
  <si>
    <t>KO CONSULTING</t>
  </si>
  <si>
    <t>2054251G</t>
  </si>
  <si>
    <t>KISSI TEHOUA HERVE</t>
  </si>
  <si>
    <t>2052183K</t>
  </si>
  <si>
    <t>KINGDOM-K SARL</t>
  </si>
  <si>
    <t>0719993A</t>
  </si>
  <si>
    <t>KINDO YAH AMALAN HORTENSE</t>
  </si>
  <si>
    <t>1321944W</t>
  </si>
  <si>
    <t>KIMOU ERIC HERVE</t>
  </si>
  <si>
    <t>0909653U</t>
  </si>
  <si>
    <t>KHALIL KOBAISSI</t>
  </si>
  <si>
    <t>2243441U</t>
  </si>
  <si>
    <t>KG-ENTREPRISES ET CONSEIL INTERNATIONAL</t>
  </si>
  <si>
    <t>2028738E</t>
  </si>
  <si>
    <t>KEJYAM</t>
  </si>
  <si>
    <t>2243163E</t>
  </si>
  <si>
    <t>1416301S</t>
  </si>
  <si>
    <t>KAMBO AMENAN (L'ART DES ONGLES)</t>
  </si>
  <si>
    <t>2242810L</t>
  </si>
  <si>
    <t>KAMAGATE MARIAME</t>
  </si>
  <si>
    <t>2304377Y</t>
  </si>
  <si>
    <t>KAM FARM</t>
  </si>
  <si>
    <t>2302537Z</t>
  </si>
  <si>
    <t>KAF BEAUTE ET AFFAIRES</t>
  </si>
  <si>
    <t>1406918T</t>
  </si>
  <si>
    <t>KADJA MIANNO WILFRIED LOIC (B STORE)</t>
  </si>
  <si>
    <t>1224798B</t>
  </si>
  <si>
    <t>KADIO-MOROKRO EPSE CAMARA BROU AICHA MAUD</t>
  </si>
  <si>
    <t>0910024V</t>
  </si>
  <si>
    <t>KABOUSS SERVICE</t>
  </si>
  <si>
    <t>1904449G</t>
  </si>
  <si>
    <t>KA GROUP</t>
  </si>
  <si>
    <t>1418234Y</t>
  </si>
  <si>
    <t>JURIS RH CONSEILS</t>
  </si>
  <si>
    <t>9310981D</t>
  </si>
  <si>
    <t>JOSEPH NIAMKETCHI</t>
  </si>
  <si>
    <t>2239607L</t>
  </si>
  <si>
    <t>JOSEPH D'ARIMATHEE AGRICULTURE</t>
  </si>
  <si>
    <t>1652796E</t>
  </si>
  <si>
    <t>JOHNSON JOE KUASSI</t>
  </si>
  <si>
    <t>2241768C</t>
  </si>
  <si>
    <t>J&amp;K CONSULTING</t>
  </si>
  <si>
    <t>2037565J</t>
  </si>
  <si>
    <t>JCL CORPORATE SARL</t>
  </si>
  <si>
    <t>0720707Y</t>
  </si>
  <si>
    <t>JAND'HORF COMMODITIES</t>
  </si>
  <si>
    <t>1444351F</t>
  </si>
  <si>
    <t>IVORIAN NATIONAL CONTRACTORS</t>
  </si>
  <si>
    <t>1357034V</t>
  </si>
  <si>
    <t>IVOIRIENNE DE ROUTE ET DE BATI</t>
  </si>
  <si>
    <t>2242541W</t>
  </si>
  <si>
    <t>IVOIRIENNE DE L'AGRO-INDUSTRIE ET DU COMMERCE INTERNATIONNAL</t>
  </si>
  <si>
    <t>2110646D</t>
  </si>
  <si>
    <t>IVOIR QUALITE ET SERVICE</t>
  </si>
  <si>
    <t>1104986R</t>
  </si>
  <si>
    <t>IT-SERVICES CONSULTING</t>
  </si>
  <si>
    <t>2202318M</t>
  </si>
  <si>
    <t>ISSOUF TOURE</t>
  </si>
  <si>
    <t>1611637V</t>
  </si>
  <si>
    <t>IPS-COTE D'IVOIRE</t>
  </si>
  <si>
    <t>2163745H</t>
  </si>
  <si>
    <t>INTERNATIONAL TRADING AND BUSINESS SARL</t>
  </si>
  <si>
    <t>9908452P</t>
  </si>
  <si>
    <t>INTERNATIONAL FORMAT° COTE D'IVOIRE</t>
  </si>
  <si>
    <t>2301806N</t>
  </si>
  <si>
    <t>INTERNATIONAL LANGUAGE OFFICE PLUS</t>
  </si>
  <si>
    <t>1943650K</t>
  </si>
  <si>
    <t>INNOVATION TRANSPORT BY KAM</t>
  </si>
  <si>
    <t>2243843D</t>
  </si>
  <si>
    <t>INNOV 720°</t>
  </si>
  <si>
    <t>2005077V</t>
  </si>
  <si>
    <t>IMPROVE CONSULTING AND SERVICES</t>
  </si>
  <si>
    <t>2179332B</t>
  </si>
  <si>
    <t>IMAN TRANSIT &amp; LOGISTIQUES SARLU</t>
  </si>
  <si>
    <t>1736959D</t>
  </si>
  <si>
    <t>HOPE BUSINESS CENTER</t>
  </si>
  <si>
    <t>4105181N</t>
  </si>
  <si>
    <t>HONDE REINE BELLE</t>
  </si>
  <si>
    <t>0303947K</t>
  </si>
  <si>
    <t>HOLLAND N'Da Sebastien</t>
  </si>
  <si>
    <t>1342660S</t>
  </si>
  <si>
    <t>HAMDOUN HASSAN</t>
  </si>
  <si>
    <t>1803262F</t>
  </si>
  <si>
    <t>HADRIEL &amp; CO</t>
  </si>
  <si>
    <t>2055509D</t>
  </si>
  <si>
    <t>GUERRIERS MARKETING AGENCY SARL</t>
  </si>
  <si>
    <t>2013593F</t>
  </si>
  <si>
    <t>GROUPE ZOUHOU ET FILS</t>
  </si>
  <si>
    <t>2300436S</t>
  </si>
  <si>
    <t>GROUPE SCOLAIRE MASKADI</t>
  </si>
  <si>
    <t>1652970Q</t>
  </si>
  <si>
    <t>GROUPE SCOLAIRE LA REGLE D'ORI</t>
  </si>
  <si>
    <t>2207048P</t>
  </si>
  <si>
    <t>GROUPE RADIUS AFRIK</t>
  </si>
  <si>
    <t>2303629V</t>
  </si>
  <si>
    <t>GROUP SMART SERVICES</t>
  </si>
  <si>
    <t>2243334B</t>
  </si>
  <si>
    <t>GROUP INNOV SERVICE</t>
  </si>
  <si>
    <t>1534218U</t>
  </si>
  <si>
    <t>GRAPH-NUMERIK</t>
  </si>
  <si>
    <t>1526919K</t>
  </si>
  <si>
    <t>GOLY ADJOUA EDITH ESTELLE</t>
  </si>
  <si>
    <t>2124572M</t>
  </si>
  <si>
    <t>GOHI INDUSTRIES GROUP</t>
  </si>
  <si>
    <t>2244361P</t>
  </si>
  <si>
    <t>GNIRA CORPORATE SARL</t>
  </si>
  <si>
    <t>2241802W</t>
  </si>
  <si>
    <t>GLORY TEAM INTERNATIONAL SARL</t>
  </si>
  <si>
    <t>2303097A</t>
  </si>
  <si>
    <t>GLOBAL LEARN CONSULTING</t>
  </si>
  <si>
    <t>1920499W</t>
  </si>
  <si>
    <t>GLOBAL BUSNESS SOLUTIONS</t>
  </si>
  <si>
    <t>1401908D</t>
  </si>
  <si>
    <t>GERM</t>
  </si>
  <si>
    <t>1643628L</t>
  </si>
  <si>
    <t>GAYE ABO ALBARETTE JOSEE</t>
  </si>
  <si>
    <t>2207567C</t>
  </si>
  <si>
    <t>GATE IMMOBILIER</t>
  </si>
  <si>
    <t>1644188D</t>
  </si>
  <si>
    <t>GARAGE N'ZI</t>
  </si>
  <si>
    <t>2028871U</t>
  </si>
  <si>
    <t>FULL SERVICE EVENT</t>
  </si>
  <si>
    <t>1802101W</t>
  </si>
  <si>
    <t>FIXWALL BUILDING</t>
  </si>
  <si>
    <t>1526219V</t>
  </si>
  <si>
    <t>FARDON Saufia Lais Kelly</t>
  </si>
  <si>
    <t>2025933F</t>
  </si>
  <si>
    <t>E2K CONSTRUCTION</t>
  </si>
  <si>
    <t>1906388D</t>
  </si>
  <si>
    <t>EXPERT PLUS INTERNATIONAL</t>
  </si>
  <si>
    <t>1903532J</t>
  </si>
  <si>
    <t>EXCELIO-SERVICES</t>
  </si>
  <si>
    <t>1006441X</t>
  </si>
  <si>
    <t>ETUDE DE MAITRE DIDIER DOUGOUE</t>
  </si>
  <si>
    <t>1435907M</t>
  </si>
  <si>
    <t>ETTE DJEKET CORINE EPSE AVOAKA</t>
  </si>
  <si>
    <t>1832429K</t>
  </si>
  <si>
    <t>ETS SUCESS</t>
  </si>
  <si>
    <t>2018503S</t>
  </si>
  <si>
    <t>ETS LERAFA</t>
  </si>
  <si>
    <t>1938295X</t>
  </si>
  <si>
    <t>ETS ISAHORA</t>
  </si>
  <si>
    <t>2127301Z</t>
  </si>
  <si>
    <t>ETS GREEN GARDEN SARL</t>
  </si>
  <si>
    <t>1020569G</t>
  </si>
  <si>
    <t>ESSOUIN TANO THÉRÈSE</t>
  </si>
  <si>
    <t>2125457K</t>
  </si>
  <si>
    <t>EPURE ARCHITECTURE</t>
  </si>
  <si>
    <t>1345457E</t>
  </si>
  <si>
    <t>ENTREPRISE INTERNATIONALE DE PRESTATIONS DE SERVICES</t>
  </si>
  <si>
    <t>2166687T</t>
  </si>
  <si>
    <t>ENTREPRISE FADIKA IMANE HASSANE</t>
  </si>
  <si>
    <t>2124909Y</t>
  </si>
  <si>
    <t>ENTREPRISE DU MANAGEMENT DES PROJETS IMMOBILIERS DE RENOVATI</t>
  </si>
  <si>
    <t>1702753M</t>
  </si>
  <si>
    <t>EL'SOLUTION SARL</t>
  </si>
  <si>
    <t>1814915G</t>
  </si>
  <si>
    <t>ELECTRICITE-ELECTRONIQUE-PLURIEL ET ASSISTANCE</t>
  </si>
  <si>
    <t>2304343Z</t>
  </si>
  <si>
    <t>EL VAGHE MARKET</t>
  </si>
  <si>
    <t>1944550G</t>
  </si>
  <si>
    <t>EL KHABBAZI FATIMA ZAHRA EPSE ATIA</t>
  </si>
  <si>
    <t>1807923J</t>
  </si>
  <si>
    <t>EKYM SARL</t>
  </si>
  <si>
    <t>1605038B</t>
  </si>
  <si>
    <t>EGTB SARL</t>
  </si>
  <si>
    <t>1913209G</t>
  </si>
  <si>
    <t>EFFIDIS RELOOKING</t>
  </si>
  <si>
    <t>2046359L</t>
  </si>
  <si>
    <t>EDNA PRESTATIONS</t>
  </si>
  <si>
    <t>2182008X</t>
  </si>
  <si>
    <t>DUL-BAT &amp; SÉCURITÉ GÉNÉRALE</t>
  </si>
  <si>
    <t>1420283Y</t>
  </si>
  <si>
    <t>DOUKOURE Karime G. A. (R'LYS Group)</t>
  </si>
  <si>
    <t>1348206W</t>
  </si>
  <si>
    <t>DJETOUAN ASSE MARTHE EPSE ADOUENI (DAMA</t>
  </si>
  <si>
    <t>1513503N</t>
  </si>
  <si>
    <t>DJA MARIE-CECILE</t>
  </si>
  <si>
    <t>2244592K</t>
  </si>
  <si>
    <t>DIVERS TRAVAUX ET MAINTENANCE</t>
  </si>
  <si>
    <t>1952360R</t>
  </si>
  <si>
    <t>DISTRIBUTION SADA &amp; FILS</t>
  </si>
  <si>
    <t>9207146M</t>
  </si>
  <si>
    <t>DIOULO MATHURIN FELICIEN</t>
  </si>
  <si>
    <t>9604984C</t>
  </si>
  <si>
    <t>DIOP ANNICK MARIE</t>
  </si>
  <si>
    <t>8604971M</t>
  </si>
  <si>
    <t>DIMBOUR EPSE AIME KADIO Marie Antoinette Eliane</t>
  </si>
  <si>
    <t>1500547H</t>
  </si>
  <si>
    <t>DIGITAL COMMUNICATION TECHNOLOGY AND CONSULTING</t>
  </si>
  <si>
    <t>2301391H</t>
  </si>
  <si>
    <t>DID AFRICA</t>
  </si>
  <si>
    <t>9605787P</t>
  </si>
  <si>
    <t>DIARRASSOUBA FATOUMATA</t>
  </si>
  <si>
    <t>2205537U</t>
  </si>
  <si>
    <t>DIAKITE SARATA</t>
  </si>
  <si>
    <t>2300460D</t>
  </si>
  <si>
    <t>DESIGN YEDIE DECO</t>
  </si>
  <si>
    <t>2006952Y</t>
  </si>
  <si>
    <t>DELABEL SERVICES</t>
  </si>
  <si>
    <t>2035080J</t>
  </si>
  <si>
    <t>DEBOLYINSTRUMENTS SARL</t>
  </si>
  <si>
    <t>2171763B</t>
  </si>
  <si>
    <t>DDC CONCEPT PLUS</t>
  </si>
  <si>
    <t>1354233E</t>
  </si>
  <si>
    <t>DAO MABONA (ETS KONIBA)</t>
  </si>
  <si>
    <t>2228002E</t>
  </si>
  <si>
    <t>COULIBALY YACOUBA</t>
  </si>
  <si>
    <t>1734217T</t>
  </si>
  <si>
    <t>COULIBALY KOROTOUMOU EPSE ANGUI</t>
  </si>
  <si>
    <t>1306828C</t>
  </si>
  <si>
    <t>COULIBALY HAMED FOUGNIGUE</t>
  </si>
  <si>
    <t>1314739H</t>
  </si>
  <si>
    <t>COULIBALY AMINATA (DJIGUIFORO SERVICES)</t>
  </si>
  <si>
    <t>1808970N</t>
  </si>
  <si>
    <t>COULIBALY TIOSSON SAINDOU(G-EXPERT IDCS)</t>
  </si>
  <si>
    <t>1532630T</t>
  </si>
  <si>
    <t>COTRADEC</t>
  </si>
  <si>
    <t>1530324W</t>
  </si>
  <si>
    <t>CONCEPT IMAGE</t>
  </si>
  <si>
    <t>1224538W</t>
  </si>
  <si>
    <t>COMPAGNIE TROPICALE DE CAOUTCH</t>
  </si>
  <si>
    <t>1501181Q</t>
  </si>
  <si>
    <t>COMOE BROU</t>
  </si>
  <si>
    <t>2401826J</t>
  </si>
  <si>
    <t>COMDAUPHIN TECHNOLOGY</t>
  </si>
  <si>
    <t>1821484G</t>
  </si>
  <si>
    <t>COM&amp;CONFORT SARL</t>
  </si>
  <si>
    <t>0735268S</t>
  </si>
  <si>
    <t>COFFI MARIE COLETTE</t>
  </si>
  <si>
    <t>2042595N</t>
  </si>
  <si>
    <t>CNK INTERNATIONAL GROUP SARL</t>
  </si>
  <si>
    <t>2227520U</t>
  </si>
  <si>
    <t>CKK SERVICES &amp; LOGISTICS</t>
  </si>
  <si>
    <t>2400600T</t>
  </si>
  <si>
    <t>CKAREMENBON</t>
  </si>
  <si>
    <t>2052608M</t>
  </si>
  <si>
    <t>CITY ADS</t>
  </si>
  <si>
    <t>1019140H</t>
  </si>
  <si>
    <t>CISSE MOUSSA</t>
  </si>
  <si>
    <t>1220743K</t>
  </si>
  <si>
    <t>CISSE MOHAMED SANASSY</t>
  </si>
  <si>
    <t>1723958F</t>
  </si>
  <si>
    <t>CIAP PROCUREMENT CI</t>
  </si>
  <si>
    <t>2013023E</t>
  </si>
  <si>
    <t>CHRISTY'S FOOD AND SERVICES</t>
  </si>
  <si>
    <t>2013422B</t>
  </si>
  <si>
    <t>CHRISTAL FAIREPART</t>
  </si>
  <si>
    <t>2242422S</t>
  </si>
  <si>
    <t>CHAPCHAP FOOD AFRICA</t>
  </si>
  <si>
    <t>1738617G</t>
  </si>
  <si>
    <t>CFA-COTE D'IVOIRE</t>
  </si>
  <si>
    <t>2150505H</t>
  </si>
  <si>
    <t>CENTRE OPTIQUE LORIAL</t>
  </si>
  <si>
    <t>1526973R</t>
  </si>
  <si>
    <t>CENTRE D'EDUCATION ROUTIERE EN COTE D'IVOIRE</t>
  </si>
  <si>
    <t>2245360G</t>
  </si>
  <si>
    <t>CENTRE D'ANATOMIE PATHOLOGIQUE PRIVE D'ABIDJAN</t>
  </si>
  <si>
    <t>2233247C</t>
  </si>
  <si>
    <t>CEDRAC GROUPE</t>
  </si>
  <si>
    <t>2032993B</t>
  </si>
  <si>
    <t>CANAAN PRESTIGE</t>
  </si>
  <si>
    <t>1907515M</t>
  </si>
  <si>
    <t>CANAAN FOODS INDUSTRIES SARL</t>
  </si>
  <si>
    <t>2300526K</t>
  </si>
  <si>
    <t>CABINET EVEIL DE CHAMPIONS</t>
  </si>
  <si>
    <t>1623232T</t>
  </si>
  <si>
    <t>CABINET CEF CONSULTING</t>
  </si>
  <si>
    <t>1653505C</t>
  </si>
  <si>
    <t>BROU Alla Gisele Prisca</t>
  </si>
  <si>
    <t>2045884K</t>
  </si>
  <si>
    <t>BRIN 2 DOUCEUR EVENT SARL</t>
  </si>
  <si>
    <t>1556439Y</t>
  </si>
  <si>
    <t>BOUSSOU AMANI ALBERTINE</t>
  </si>
  <si>
    <t>2052777D</t>
  </si>
  <si>
    <t>BOURAQ BTP SERVICES</t>
  </si>
  <si>
    <t>1974527K</t>
  </si>
  <si>
    <t>BONGOUA EBRINWA ELISABETH</t>
  </si>
  <si>
    <t>1940880C</t>
  </si>
  <si>
    <t>BOHIYA SERVICES SARL</t>
  </si>
  <si>
    <t>2173312Z</t>
  </si>
  <si>
    <t>BODI-BONDAH NEGOCE ET TRAVAUX PUBLIC</t>
  </si>
  <si>
    <t>2242794R</t>
  </si>
  <si>
    <t>BODI NEGOCE TRANSPORT ET BATIMENT</t>
  </si>
  <si>
    <t>2243064N</t>
  </si>
  <si>
    <t>BIOFOSSE GROUP</t>
  </si>
  <si>
    <t>1507263F</t>
  </si>
  <si>
    <t>BELCAD GROUP</t>
  </si>
  <si>
    <t>2005587J</t>
  </si>
  <si>
    <t>BELCAD AND KAPSY INCORPORATION</t>
  </si>
  <si>
    <t>2199237Z</t>
  </si>
  <si>
    <t>BEESTYLE SARL</t>
  </si>
  <si>
    <t>1345510F</t>
  </si>
  <si>
    <t>BATI BO DESIGN</t>
  </si>
  <si>
    <t>2213716W</t>
  </si>
  <si>
    <t>BALDE ALPHA OUMAR</t>
  </si>
  <si>
    <t>0711638M</t>
  </si>
  <si>
    <t>BAKAYOKO LOSSENI</t>
  </si>
  <si>
    <t>1425387R</t>
  </si>
  <si>
    <t>BAÏ LAGOKE JULIETTE</t>
  </si>
  <si>
    <t>2245508K</t>
  </si>
  <si>
    <t>BAH SOULEYMANE &amp; FILS PLUS SERVICES</t>
  </si>
  <si>
    <t>0410643R</t>
  </si>
  <si>
    <t>BABA TRAORE</t>
  </si>
  <si>
    <t>1629359Y</t>
  </si>
  <si>
    <t>AYAEL ENTREPRISE</t>
  </si>
  <si>
    <t>2304813V</t>
  </si>
  <si>
    <t>AUTO PLUS NT</t>
  </si>
  <si>
    <t>1603349V</t>
  </si>
  <si>
    <t>ATIE KHALIL</t>
  </si>
  <si>
    <t>2169728N</t>
  </si>
  <si>
    <t>ATELIER V DESIGN</t>
  </si>
  <si>
    <t>2186865J</t>
  </si>
  <si>
    <t>ASSISTANCE INTERMEDIATE LEADERS &amp; PARTNERS</t>
  </si>
  <si>
    <t>1985323J</t>
  </si>
  <si>
    <t>AS SAMAD-CANAAN MULTISERVICES</t>
  </si>
  <si>
    <t>2230526V</t>
  </si>
  <si>
    <t>ARIELLE CONSTRUCTION</t>
  </si>
  <si>
    <t>1402793S</t>
  </si>
  <si>
    <t>ARCHIVAGE DOCUMENTAIRE</t>
  </si>
  <si>
    <t>2014189K</t>
  </si>
  <si>
    <t>ANOH EBAH MARIE ROSELYNE LISETTE</t>
  </si>
  <si>
    <t>1657807F</t>
  </si>
  <si>
    <t>ANNIE AUTO ECOLE</t>
  </si>
  <si>
    <t>2022284J</t>
  </si>
  <si>
    <t>ANGOUA ADJOUA ANGELE DENISE</t>
  </si>
  <si>
    <t>2194004P</t>
  </si>
  <si>
    <t>ANFANI LOKE</t>
  </si>
  <si>
    <t>1846521M</t>
  </si>
  <si>
    <t>ANDREA SERVICE</t>
  </si>
  <si>
    <t>0171372M</t>
  </si>
  <si>
    <t>ANDI EPSE NUAKON</t>
  </si>
  <si>
    <t>2304037M</t>
  </si>
  <si>
    <t>ANAELCOM LIMITED</t>
  </si>
  <si>
    <t>0707838K</t>
  </si>
  <si>
    <t>AMANI EPSE DIOP AHOU</t>
  </si>
  <si>
    <t>2304364H</t>
  </si>
  <si>
    <t>AMANI DIGITAL SERVICES</t>
  </si>
  <si>
    <t>1860423V</t>
  </si>
  <si>
    <t>AMAHO WALIOU</t>
  </si>
  <si>
    <t>2188428W</t>
  </si>
  <si>
    <t>ALICE TETIALI LIKA SARL</t>
  </si>
  <si>
    <t>2001626U</t>
  </si>
  <si>
    <t>AKA AKETCHY SEVERIN</t>
  </si>
  <si>
    <t>2198558A</t>
  </si>
  <si>
    <t>AKA ADJO MARIE LUC EMMANUELLA</t>
  </si>
  <si>
    <t>1110825Q</t>
  </si>
  <si>
    <t>AHOUANTO EULOGE BODOUNRIN BASILE (J.T.F</t>
  </si>
  <si>
    <t>2244355H</t>
  </si>
  <si>
    <t>AHETOU BIJOUX SARL</t>
  </si>
  <si>
    <t>1709027G</t>
  </si>
  <si>
    <t>AGENCE IXOYE IMPACT</t>
  </si>
  <si>
    <t>1708896C</t>
  </si>
  <si>
    <t>AFRICANCONSULTANTS</t>
  </si>
  <si>
    <t>1825074K</t>
  </si>
  <si>
    <t>AFRICAN LEADERS CONSULTING GRO</t>
  </si>
  <si>
    <t>1941540B</t>
  </si>
  <si>
    <t>AFRICA MOOV INTERNATIONAL</t>
  </si>
  <si>
    <t>0187407T</t>
  </si>
  <si>
    <t>AFFIA Esther Caroline Mokan</t>
  </si>
  <si>
    <t>9506206N</t>
  </si>
  <si>
    <t>ADINGRA EPSE KOUASSI KABRAN Mokoih Marguerite (HOTEL LEMA)</t>
  </si>
  <si>
    <t>2145239C</t>
  </si>
  <si>
    <t>ACOTA BOISERIE ET DIVERS</t>
  </si>
  <si>
    <t>2302877Q</t>
  </si>
  <si>
    <t>ACCEPT</t>
  </si>
  <si>
    <t>4239738Q</t>
  </si>
  <si>
    <t>ABSOLUTE BUSINESS TECHNOLOGIES</t>
  </si>
  <si>
    <t>0529593T</t>
  </si>
  <si>
    <t>ABOTCHA EPSE GRANT YOBOU</t>
  </si>
  <si>
    <t>0309226W</t>
  </si>
  <si>
    <t>ABOA DETCHO JEAN PIERRE</t>
  </si>
  <si>
    <t>0502105G</t>
  </si>
  <si>
    <t>ABE AHOUA Sopie Bernadette</t>
  </si>
  <si>
    <t>N'GUESSAN née N'GORAN ANNE</t>
  </si>
  <si>
    <t>NCC</t>
  </si>
  <si>
    <t>Nom</t>
  </si>
  <si>
    <t>Adhesion</t>
  </si>
  <si>
    <t>address</t>
  </si>
  <si>
    <t>state</t>
  </si>
  <si>
    <t>city</t>
  </si>
  <si>
    <t>website</t>
  </si>
  <si>
    <t>Portefeuille</t>
  </si>
  <si>
    <t>numcga</t>
  </si>
  <si>
    <t>numadh</t>
  </si>
  <si>
    <t>numrccm</t>
  </si>
  <si>
    <t>numcc</t>
  </si>
  <si>
    <t>formjurid</t>
  </si>
  <si>
    <t>regime</t>
  </si>
  <si>
    <t>acti_prin</t>
  </si>
  <si>
    <t>section</t>
  </si>
  <si>
    <t>parcelle</t>
  </si>
  <si>
    <t>imp_centre</t>
  </si>
  <si>
    <t>codeacti</t>
  </si>
  <si>
    <t>montcapit</t>
  </si>
  <si>
    <t>COCODY II PLATEAUX VALLONS</t>
  </si>
  <si>
    <t>NULL</t>
  </si>
  <si>
    <t>Abidjan</t>
  </si>
  <si>
    <t>DCK-001</t>
  </si>
  <si>
    <t>DCK-CGA2019-A026</t>
  </si>
  <si>
    <t>ENTREPRISE INDIVIDUELLE</t>
  </si>
  <si>
    <t>TEE</t>
  </si>
  <si>
    <t>II Plateaux II</t>
  </si>
  <si>
    <t>COCODY RIVERA BONOUMIN</t>
  </si>
  <si>
    <t>09 BP 1976 ABID</t>
  </si>
  <si>
    <t>N/D</t>
  </si>
  <si>
    <t>CI-ABJ-2015-A-3981</t>
  </si>
  <si>
    <t>DCK-002</t>
  </si>
  <si>
    <t>DCK-CGA2019-A013</t>
  </si>
  <si>
    <t>Fourniture de bureau</t>
  </si>
  <si>
    <t>EV</t>
  </si>
  <si>
    <t>II Plateaux III</t>
  </si>
  <si>
    <t>CCE1501</t>
  </si>
  <si>
    <t>COCODY BLOCKAUSS</t>
  </si>
  <si>
    <t>DCK-003</t>
  </si>
  <si>
    <t>DCK-CGA2020-A050</t>
  </si>
  <si>
    <t>Cocody</t>
  </si>
  <si>
    <t xml:space="preserve">COCODY SAINT JEAN </t>
  </si>
  <si>
    <t>DCK-004</t>
  </si>
  <si>
    <t>DCK-CGA2019-A039</t>
  </si>
  <si>
    <t>DCK-005</t>
  </si>
  <si>
    <t>DCK-CGA2019-A024</t>
  </si>
  <si>
    <t>OUEDRAOGO YOUSSOUF</t>
  </si>
  <si>
    <t>DCK-006</t>
  </si>
  <si>
    <t>DCK-CGA2019-A023</t>
  </si>
  <si>
    <t xml:space="preserve">COCODY ANGRE 7E TRANCHE </t>
  </si>
  <si>
    <t>DCK-007</t>
  </si>
  <si>
    <t>DCK-CGA2019-A007</t>
  </si>
  <si>
    <t>SARL</t>
  </si>
  <si>
    <t>II Plateaux I</t>
  </si>
  <si>
    <t xml:space="preserve">COCODY RIVIERA BONOUMIN </t>
  </si>
  <si>
    <t>DCK-008</t>
  </si>
  <si>
    <t>DCK-CGA2019-A029</t>
  </si>
  <si>
    <t>COCODY II PLATAUX SIDECI</t>
  </si>
  <si>
    <t>DCK-009</t>
  </si>
  <si>
    <t>DCK-CGA2019-B036</t>
  </si>
  <si>
    <t>RME</t>
  </si>
  <si>
    <t xml:space="preserve">COCODY VALLON </t>
  </si>
  <si>
    <t>DCK-010</t>
  </si>
  <si>
    <t>DCK-CGA2019-A022</t>
  </si>
  <si>
    <t>YERE LOU EPSE YACE NENENAN BLANCHE</t>
  </si>
  <si>
    <t xml:space="preserve">COCODY II PLATEAUX VALLON </t>
  </si>
  <si>
    <t>DCK-011</t>
  </si>
  <si>
    <t>DCK-CGA2019-A040</t>
  </si>
  <si>
    <t xml:space="preserve">II PLATEUX VALLON </t>
  </si>
  <si>
    <t>DCK-012</t>
  </si>
  <si>
    <t>DCK-CGA2019-A010</t>
  </si>
  <si>
    <t>KOUAME KONAN FIRMIN</t>
  </si>
  <si>
    <t>EXPLOITANT INDIVIDUEL</t>
  </si>
  <si>
    <t>DCK-013</t>
  </si>
  <si>
    <t>DCK-CGA2019-A016</t>
  </si>
  <si>
    <t>TRAVAUX DE TELECOM</t>
  </si>
  <si>
    <t>COCODY RIVIERA BONOUMIN</t>
  </si>
  <si>
    <t>DCK-014</t>
  </si>
  <si>
    <t>DCK-CGA2019-A019</t>
  </si>
  <si>
    <t>PROPRIETAIRE</t>
  </si>
  <si>
    <t>09 BP 2525 ABIDJAN 09</t>
  </si>
  <si>
    <t>DCK-015</t>
  </si>
  <si>
    <t>DCK-CGA2019-A005</t>
  </si>
  <si>
    <t>Transport et prestation de services</t>
  </si>
  <si>
    <t>SCE2103</t>
  </si>
  <si>
    <t>COCODY ANGRE-DJIBI</t>
  </si>
  <si>
    <t>CI-ABJ-2011-A-6598</t>
  </si>
  <si>
    <t>DCK-016</t>
  </si>
  <si>
    <t>DCK-CGA2019-A025</t>
  </si>
  <si>
    <t>QUINCAILLERIE</t>
  </si>
  <si>
    <t>II Plateaux Djibi</t>
  </si>
  <si>
    <t>RIVIERA LES JARDINS</t>
  </si>
  <si>
    <t>DCK-017</t>
  </si>
  <si>
    <t>DCK-CGA2019-B031</t>
  </si>
  <si>
    <t>Riviera I</t>
  </si>
  <si>
    <t xml:space="preserve">COCODY RIVIERA FAYA </t>
  </si>
  <si>
    <t>DCK-018</t>
  </si>
  <si>
    <t>DCK-CGA2019-A001</t>
  </si>
  <si>
    <t>Riviera II</t>
  </si>
  <si>
    <t>CISSE MOHMED SANASSY</t>
  </si>
  <si>
    <t xml:space="preserve">COCODY RIVIERA PALMERAIE </t>
  </si>
  <si>
    <t>DCK-019</t>
  </si>
  <si>
    <t>DCK-CGA2019-A028</t>
  </si>
  <si>
    <t>COCODY II PLATEAUX ANGRE</t>
  </si>
  <si>
    <t>22 BP 799 ABIDJ</t>
  </si>
  <si>
    <t>CI-ABJ-2018-B-04208</t>
  </si>
  <si>
    <t>DCK-020</t>
  </si>
  <si>
    <t>DCK-CGA2019-A006</t>
  </si>
  <si>
    <t>SCE0203</t>
  </si>
  <si>
    <t>DCK-021</t>
  </si>
  <si>
    <t>YAO N'GUESSAN ADELE EPSE DJEDJE</t>
  </si>
  <si>
    <t>RIVIERA BONOUMIN</t>
  </si>
  <si>
    <t>CI-ABJ-2012-A-1024</t>
  </si>
  <si>
    <t>DCK-022</t>
  </si>
  <si>
    <t>DCK-CGA2019-A027</t>
  </si>
  <si>
    <t>ALIMENTATION GENERALE ET TRANSFERT D'ARGENT</t>
  </si>
  <si>
    <t>ABC</t>
  </si>
  <si>
    <t>SCE0101</t>
  </si>
  <si>
    <t>COCODY ANGRE 7E TRANCHE</t>
  </si>
  <si>
    <t>CI-ABJ-2014-A-1249</t>
  </si>
  <si>
    <t>DCK-023</t>
  </si>
  <si>
    <t>DCK-CGA2019-A014</t>
  </si>
  <si>
    <t>LOCATION DE SALLE ET TRAITEUR</t>
  </si>
  <si>
    <t>OZ</t>
  </si>
  <si>
    <t>SCE0708</t>
  </si>
  <si>
    <t>YAKIM DESIGN</t>
  </si>
  <si>
    <t xml:space="preserve">II PLATEAUX LES PERLES </t>
  </si>
  <si>
    <t>1800364M</t>
  </si>
  <si>
    <t>DCK-024</t>
  </si>
  <si>
    <t>DCK-CGA2020-A104</t>
  </si>
  <si>
    <t>COCODY BONOUMIN</t>
  </si>
  <si>
    <t>DCK-025</t>
  </si>
  <si>
    <t>DCK-CGA2020-A051</t>
  </si>
  <si>
    <t>PRESTATIONS MEDICALE</t>
  </si>
  <si>
    <t>ABH</t>
  </si>
  <si>
    <t>SCE1601</t>
  </si>
  <si>
    <t>COCODY</t>
  </si>
  <si>
    <t>CI-ABJ-2017-A-25544</t>
  </si>
  <si>
    <t>DCK-026</t>
  </si>
  <si>
    <t>DCK-CGA2020-A088</t>
  </si>
  <si>
    <t>ASSISTANCE VOYAGE ET ETUDES, FORMATION, DIVERS</t>
  </si>
  <si>
    <t>AO</t>
  </si>
  <si>
    <t>SCE2399</t>
  </si>
  <si>
    <t xml:space="preserve">COCODY RIVERA II CITE ESTUDIANTINE </t>
  </si>
  <si>
    <t>DCK-027</t>
  </si>
  <si>
    <t>DCK-CGA2020-A-111</t>
  </si>
  <si>
    <t xml:space="preserve">Riviera I </t>
  </si>
  <si>
    <t>COCODY ANGRE LES OSCARS</t>
  </si>
  <si>
    <t>DCK-028</t>
  </si>
  <si>
    <t>DCK-CGA2019-A120</t>
  </si>
  <si>
    <t>NEYD DISTRIBUTION</t>
  </si>
  <si>
    <t xml:space="preserve">ANGRE 8E TRANCHE </t>
  </si>
  <si>
    <t>1351303J</t>
  </si>
  <si>
    <t>DCK-029</t>
  </si>
  <si>
    <t>DCK-CGA2019-A118</t>
  </si>
  <si>
    <t xml:space="preserve">II PLATEAUX VALLON </t>
  </si>
  <si>
    <t>0317890C</t>
  </si>
  <si>
    <t>DCK-030</t>
  </si>
  <si>
    <t>DCK-CGA2019-A119</t>
  </si>
  <si>
    <t>BS SARL</t>
  </si>
  <si>
    <t>CI-ABJ-2019-B-14607</t>
  </si>
  <si>
    <t>DCK-031</t>
  </si>
  <si>
    <t>DCK-CGA2019-A117</t>
  </si>
  <si>
    <t>VENTE DE TITRE DE TRANSPORT AERIEN ET TERRESTRE,MONETIQUE ET TRANSFERT D4ARGENT RAPIDE NATIONAUX ET INTERNATIONAUX</t>
  </si>
  <si>
    <t>SCE0313</t>
  </si>
  <si>
    <t>RIVIERA 3 MOSQUEE</t>
  </si>
  <si>
    <t>DCK-032</t>
  </si>
  <si>
    <t>DCK-CGA2020-A115</t>
  </si>
  <si>
    <t>KADIO-MOROKRO MAUD AICHA (FOR MEN)</t>
  </si>
  <si>
    <t>DCK-033</t>
  </si>
  <si>
    <t>DCK-CGA-2021-Q154</t>
  </si>
  <si>
    <t>PHILIPPE INES GROUP</t>
  </si>
  <si>
    <t xml:space="preserve">II PLATEAUX </t>
  </si>
  <si>
    <t>DCK-034</t>
  </si>
  <si>
    <t>DCK-CGA-2021-Q174</t>
  </si>
  <si>
    <t>OREMUS SARLU</t>
  </si>
  <si>
    <t>COCODY II PLATEAUX VALLON</t>
  </si>
  <si>
    <t>08 BP 21115 ABI</t>
  </si>
  <si>
    <t>CI-ABJ-2019-B-17445</t>
  </si>
  <si>
    <t>DCK-035</t>
  </si>
  <si>
    <t>DCK-CGA2024-A050</t>
  </si>
  <si>
    <t>LOCATIONS MATERIELS ,EVEMENTIELS,LOCATION VEHICULE</t>
  </si>
  <si>
    <t>II Pateaux II</t>
  </si>
  <si>
    <t>SCC0701</t>
  </si>
  <si>
    <t>IVOIR QUALITE ET SERVICES</t>
  </si>
  <si>
    <t>COCODY-ANGRE-CITE BEL HORIZON</t>
  </si>
  <si>
    <t>DCK-036</t>
  </si>
  <si>
    <t>DCK-CGA-2021-Q172</t>
  </si>
  <si>
    <t xml:space="preserve">COCODY RIVIERA GOLF  ANONO </t>
  </si>
  <si>
    <t>DCK-037</t>
  </si>
  <si>
    <t>DCK-CGA-2022-J002</t>
  </si>
  <si>
    <t>COCODY RIVIERA II</t>
  </si>
  <si>
    <t>DCK-038</t>
  </si>
  <si>
    <t>DCK-CGA-2022-J004</t>
  </si>
  <si>
    <t xml:space="preserve">COCODY ANGRE </t>
  </si>
  <si>
    <t>DCK-039</t>
  </si>
  <si>
    <t>DCK-CGA-2022-J011</t>
  </si>
  <si>
    <t>COCODY RIVERA FAYA</t>
  </si>
  <si>
    <t>DCK-040</t>
  </si>
  <si>
    <t>DCK-CGA-2022-J055</t>
  </si>
  <si>
    <t>COCODY II PLATEAUX 8E TRANCHE</t>
  </si>
  <si>
    <t>DCK-041</t>
  </si>
  <si>
    <t>DCK-CGA-2022-J063</t>
  </si>
  <si>
    <t xml:space="preserve">COCODY ANGRE 8E TRANCHE </t>
  </si>
  <si>
    <t>DCK-042</t>
  </si>
  <si>
    <t>DCK-CGA-2022-J065</t>
  </si>
  <si>
    <t>KHORA SARL</t>
  </si>
  <si>
    <t xml:space="preserve">COCODY II PLATEAUX </t>
  </si>
  <si>
    <t>DCK-043</t>
  </si>
  <si>
    <t>DCK-CGA-2023-J003</t>
  </si>
  <si>
    <t>COCODY ATTOBAN</t>
  </si>
  <si>
    <t>06 BP 2346 ABID</t>
  </si>
  <si>
    <t>LWP</t>
  </si>
  <si>
    <t>CI-ABJ-2021-03729</t>
  </si>
  <si>
    <t>DCK-044</t>
  </si>
  <si>
    <t>DCK-CGA-2022-J012</t>
  </si>
  <si>
    <t>COMMERCE GENERALE-INFORMATIQUE</t>
  </si>
  <si>
    <t>SZ</t>
  </si>
  <si>
    <t>CCE1402</t>
  </si>
  <si>
    <t>COM &amp; CONFORT SARL</t>
  </si>
  <si>
    <t>COCODY RIVIERA</t>
  </si>
  <si>
    <t>BP 330 BINGERVI</t>
  </si>
  <si>
    <t>CI-ABJ-2018-B-10503</t>
  </si>
  <si>
    <t>1821484C</t>
  </si>
  <si>
    <t>DCK-045</t>
  </si>
  <si>
    <t>DCK-CGA-2022-J013</t>
  </si>
  <si>
    <t>CABINET CONSEIL EN COMMUNICATION-IMPRESSION-PUBLICITE</t>
  </si>
  <si>
    <t>IND1504</t>
  </si>
  <si>
    <t>PRESTIGE INNOV SARLU</t>
  </si>
  <si>
    <t>COCODY RIVIERA 3</t>
  </si>
  <si>
    <t>GERANT</t>
  </si>
  <si>
    <t>12 BP 1661 ABID</t>
  </si>
  <si>
    <t>CI-ABJ-03-2022-B13-09162</t>
  </si>
  <si>
    <t>DCK-046</t>
  </si>
  <si>
    <t>DCK-CGA-2023-J019</t>
  </si>
  <si>
    <t>SOLUTION-INFORMATIQUE-CONSULTING</t>
  </si>
  <si>
    <t>ES</t>
  </si>
  <si>
    <t>SCE0801</t>
  </si>
  <si>
    <t>COCODY II PLATEAUX 7E TRANCHE</t>
  </si>
  <si>
    <t>28 BP 1676 ABID</t>
  </si>
  <si>
    <t>CI-ABJ-03-2021-B12-02105</t>
  </si>
  <si>
    <t>DCK-047</t>
  </si>
  <si>
    <t>DCK-CGA-2023-J021</t>
  </si>
  <si>
    <t>TIC, DEVELOPPEMENT INFORMATIQUE</t>
  </si>
  <si>
    <t>SCE0804</t>
  </si>
  <si>
    <t>J&amp;K CONSULTING SARLU</t>
  </si>
  <si>
    <t>COCODY RIVIERA 3 BONOUMIN</t>
  </si>
  <si>
    <t>09 BP 290 ABIDJ</t>
  </si>
  <si>
    <t>CI-ABJ-03-2022-B12-02388</t>
  </si>
  <si>
    <t>DCK-048</t>
  </si>
  <si>
    <t>DCK-CGA-2022-J030</t>
  </si>
  <si>
    <t>FORAMATION-CONSEIL-ETUDE</t>
  </si>
  <si>
    <t>SCE0802</t>
  </si>
  <si>
    <t>JEAN NOEL</t>
  </si>
  <si>
    <t>CI-ABJ-03-B17-00080</t>
  </si>
  <si>
    <t>DCK-049</t>
  </si>
  <si>
    <t>DCK-CGA-2022-J031</t>
  </si>
  <si>
    <t>FORMATION-CONSEIL-ETUDE-VENTE</t>
  </si>
  <si>
    <t>SCE1504</t>
  </si>
  <si>
    <t>BIOFOSSE GROUP SARL</t>
  </si>
  <si>
    <t>COCODY MERMOZ</t>
  </si>
  <si>
    <t>DCK-050</t>
  </si>
  <si>
    <t>DCK-CGA2023-J032</t>
  </si>
  <si>
    <t>MULSERVICES SA</t>
  </si>
  <si>
    <t>DCK-051</t>
  </si>
  <si>
    <t>SA</t>
  </si>
  <si>
    <t>ANGRE BESSIKOI</t>
  </si>
  <si>
    <t>11 BP 2710 ABID</t>
  </si>
  <si>
    <t>CI-ABJ-2018-B-04500</t>
  </si>
  <si>
    <t>DCK-052</t>
  </si>
  <si>
    <t>DCK-CGA2019-A008</t>
  </si>
  <si>
    <t>Alimentation, fournitures techniques</t>
  </si>
  <si>
    <t>MN</t>
  </si>
  <si>
    <t>CCE0101</t>
  </si>
  <si>
    <t>ANGRE 8E TRANCHE MANDELA</t>
  </si>
  <si>
    <t>CI-ABJ-2015-A-8889</t>
  </si>
  <si>
    <t>DCK-053</t>
  </si>
  <si>
    <t>DCK-CGA2021-Q182</t>
  </si>
  <si>
    <t>LABO PHOTO</t>
  </si>
  <si>
    <t>HL</t>
  </si>
  <si>
    <t>ART0403</t>
  </si>
  <si>
    <t>DOCTEUR DIOULO MATHURIN</t>
  </si>
  <si>
    <t>08 BP 27 ABIDJA</t>
  </si>
  <si>
    <t>CI-ABJ-1992-A-165699</t>
  </si>
  <si>
    <t>DCK-054</t>
  </si>
  <si>
    <t>DCK-CGA2021-Q173</t>
  </si>
  <si>
    <t>CABINET MEDICAL</t>
  </si>
  <si>
    <t xml:space="preserve">BINGERVILLE </t>
  </si>
  <si>
    <t>DCK-055</t>
  </si>
  <si>
    <t>DCK-CGA2023-J001</t>
  </si>
  <si>
    <t>Bingerville</t>
  </si>
  <si>
    <t>DCK-056</t>
  </si>
  <si>
    <t>DCK-CGA2023-J002</t>
  </si>
  <si>
    <t>MIWA ENTREPRISE</t>
  </si>
  <si>
    <t xml:space="preserve">BINGERVILLE RESIDENTIEL </t>
  </si>
  <si>
    <t>2164416N</t>
  </si>
  <si>
    <t>DCK-057</t>
  </si>
  <si>
    <t>DCK-CGA2023-J005</t>
  </si>
  <si>
    <t>DCK-058</t>
  </si>
  <si>
    <t>DCK-CGA2023-J006</t>
  </si>
  <si>
    <t>RIVIERA 4 M'POUTO</t>
  </si>
  <si>
    <t>DCK-059</t>
  </si>
  <si>
    <t>DCK-CGA2023-J009</t>
  </si>
  <si>
    <t>AFRICAN LEADERS CONSULTING GROUP</t>
  </si>
  <si>
    <t>DCK-060</t>
  </si>
  <si>
    <t>DCK-CGA2023-J015</t>
  </si>
  <si>
    <t>AS SAMAD-CMS</t>
  </si>
  <si>
    <t>BINGERVILLE</t>
  </si>
  <si>
    <t>DCK-061</t>
  </si>
  <si>
    <t>DCK-CGA2023-J016</t>
  </si>
  <si>
    <t>DCK-062</t>
  </si>
  <si>
    <t>DCK-CGA2023-J022</t>
  </si>
  <si>
    <t>BODI NEGOCE TRANSPORT ET BATIMENT SARL</t>
  </si>
  <si>
    <t xml:space="preserve">COCODY FAYA AKOUEDO </t>
  </si>
  <si>
    <t>DCK-063</t>
  </si>
  <si>
    <t>DCK-CGA2023-J023</t>
  </si>
  <si>
    <t>DCK-064</t>
  </si>
  <si>
    <t>DCK-CGA2023-J024</t>
  </si>
  <si>
    <t>KARMEL'S</t>
  </si>
  <si>
    <t>DCK-065</t>
  </si>
  <si>
    <t>DCK-CGA2023-J025</t>
  </si>
  <si>
    <t>TETIALI ALICE</t>
  </si>
  <si>
    <t>COCODY AKOUEDO</t>
  </si>
  <si>
    <t>DCK-066</t>
  </si>
  <si>
    <t>DCK-CGA2023-J026</t>
  </si>
  <si>
    <t>GROUPE RADIUS AFRIQUE</t>
  </si>
  <si>
    <t xml:space="preserve">BINGERVILLE FEKESSE </t>
  </si>
  <si>
    <t>DCK-067</t>
  </si>
  <si>
    <t>DCK-CGA2023-J027</t>
  </si>
  <si>
    <t>ETS SUCCES</t>
  </si>
  <si>
    <t xml:space="preserve">COCODY ABATTA </t>
  </si>
  <si>
    <t>DCK-068</t>
  </si>
  <si>
    <t>DCK-CGA2023-J028</t>
  </si>
  <si>
    <t>CANAAN GROUP INDUSTRIE</t>
  </si>
  <si>
    <t>DCK-069</t>
  </si>
  <si>
    <t>DCK-CGA2023-J029</t>
  </si>
  <si>
    <t xml:space="preserve">ABATTA </t>
  </si>
  <si>
    <t>DCK-070</t>
  </si>
  <si>
    <t>DCK-CGA2022-J036</t>
  </si>
  <si>
    <t xml:space="preserve">COCODY RIVERA PALMERAIE </t>
  </si>
  <si>
    <t>DCK-071</t>
  </si>
  <si>
    <t>DCK-CGA2023-J043</t>
  </si>
  <si>
    <t>BINGERVILLE CITE DES GRACES II</t>
  </si>
  <si>
    <t>DCK-072</t>
  </si>
  <si>
    <t>DCK-CGA2023-J053</t>
  </si>
  <si>
    <t xml:space="preserve">BINGERVILLE CITE FEKRESSE </t>
  </si>
  <si>
    <t>DCK-073</t>
  </si>
  <si>
    <t>DCK-CGA2022-J016</t>
  </si>
  <si>
    <t xml:space="preserve">BINGERVILLE LYCEE MAMI FAITAI </t>
  </si>
  <si>
    <t>DCK-074</t>
  </si>
  <si>
    <t>DCK-CGA2022-J019</t>
  </si>
  <si>
    <t>ETS LERAFA SARL</t>
  </si>
  <si>
    <t>DCK-075</t>
  </si>
  <si>
    <t>DCK-CGA2022-J021</t>
  </si>
  <si>
    <t>KEJYAM SARL</t>
  </si>
  <si>
    <t>BINGERVILLE ABATA</t>
  </si>
  <si>
    <t>DCK-076</t>
  </si>
  <si>
    <t>DCK-CGA2022-J058</t>
  </si>
  <si>
    <t>RIVIERA 4 FAYA</t>
  </si>
  <si>
    <t>DCK-077</t>
  </si>
  <si>
    <t>DCK-CGA2022-J059</t>
  </si>
  <si>
    <t>DCK-078</t>
  </si>
  <si>
    <t>DCK-CGA2022-J061</t>
  </si>
  <si>
    <t>MITA PRODUCTION</t>
  </si>
  <si>
    <t>BINGERVILLE PARIS VILLAGE</t>
  </si>
  <si>
    <t>DCK-079</t>
  </si>
  <si>
    <t>DCK-CGA2022-J071</t>
  </si>
  <si>
    <t>DCK-080</t>
  </si>
  <si>
    <t>DCK-CGA2022-J009</t>
  </si>
  <si>
    <t>DCK-081</t>
  </si>
  <si>
    <t>DCK-CGA2022-J010</t>
  </si>
  <si>
    <t>BODI BONDAH NEGOCE TRAVAUX PUBLIC</t>
  </si>
  <si>
    <t>BINGERVILLE ELOITE</t>
  </si>
  <si>
    <t>DCK-082</t>
  </si>
  <si>
    <t>DCK-CGA2022-J017</t>
  </si>
  <si>
    <t>DCK-083</t>
  </si>
  <si>
    <t>DCK-CGA2022-J018</t>
  </si>
  <si>
    <t>IMAN TRANSIT ET LOGISTIQUES</t>
  </si>
  <si>
    <t>DCK-084</t>
  </si>
  <si>
    <t>DCK-CGA2022-J020</t>
  </si>
  <si>
    <t>DCK-085</t>
  </si>
  <si>
    <t>DCK-CGA2022-J022</t>
  </si>
  <si>
    <t>BINGERVILLE SCI CARRIERE</t>
  </si>
  <si>
    <t>DCK-086</t>
  </si>
  <si>
    <t>DCK-CGA2022-J023</t>
  </si>
  <si>
    <t>NJIR INVEST SARL</t>
  </si>
  <si>
    <t>DCK-087</t>
  </si>
  <si>
    <t>DCK-CGA2022-J025</t>
  </si>
  <si>
    <t>E 2 K CONSTRUCTION</t>
  </si>
  <si>
    <t>DCK-089</t>
  </si>
  <si>
    <t>DCK-CGA2022-J069</t>
  </si>
  <si>
    <t>BINGERVILLE AKANDJE</t>
  </si>
  <si>
    <t>DCK-090</t>
  </si>
  <si>
    <t>DCK-CGA2022-J070</t>
  </si>
  <si>
    <t>GLORY TEAM INTERNATIONAL</t>
  </si>
  <si>
    <t>DCK-091</t>
  </si>
  <si>
    <t>DCK-CGA2022-J074</t>
  </si>
  <si>
    <t>KOUAME KOUAKOU MAXIME</t>
  </si>
  <si>
    <t>DCK-092</t>
  </si>
  <si>
    <t>DCK-CGA2023-J017</t>
  </si>
  <si>
    <t>YANKAN-MO SARLU</t>
  </si>
  <si>
    <t xml:space="preserve">COCODY ANGRE 7E TRANCHE OSCARS </t>
  </si>
  <si>
    <t>DCK-093</t>
  </si>
  <si>
    <t>DCK-CGA2023-J018</t>
  </si>
  <si>
    <t>KOUMA MAMANI PRESTIGE</t>
  </si>
  <si>
    <t>2217860F</t>
  </si>
  <si>
    <t>DCK-094</t>
  </si>
  <si>
    <t>SAYNI ET SON</t>
  </si>
  <si>
    <t>DCK-095</t>
  </si>
  <si>
    <t>DCK-CGA2023-J035</t>
  </si>
  <si>
    <t>DCK-096</t>
  </si>
  <si>
    <t>DCK-CGA2022-J012</t>
  </si>
  <si>
    <t>ASSISTANCE INTERMEDIATE LEADERS ET PARTNERS</t>
  </si>
  <si>
    <t>DCK-097</t>
  </si>
  <si>
    <t>DCK-CGA2022-J015</t>
  </si>
  <si>
    <t>GROUPE ZOUHOU ET FILS SARL</t>
  </si>
  <si>
    <t>COCODY RIVIERA M'POUTO CITE CAD</t>
  </si>
  <si>
    <t>DCK-098</t>
  </si>
  <si>
    <t>DCK-CGA2022-J034</t>
  </si>
  <si>
    <t>ENTREPRISE FADIKA IMANE HASSANE HASSANE</t>
  </si>
  <si>
    <t>DCK-099</t>
  </si>
  <si>
    <t>DCK-CGA2021-Q185</t>
  </si>
  <si>
    <t>N3H IMMOBILIER CÃ”TE D'IVOIRE</t>
  </si>
  <si>
    <t xml:space="preserve">COCODY BLAUCKAUSS </t>
  </si>
  <si>
    <t>DCK-100</t>
  </si>
  <si>
    <t>DCK-CGA2022-J046</t>
  </si>
  <si>
    <t>SAS</t>
  </si>
  <si>
    <t>COCODY PLATEAU DOKUI</t>
  </si>
  <si>
    <t>DCK-101</t>
  </si>
  <si>
    <t>DCK-CGA2022-J013</t>
  </si>
  <si>
    <t>COCODY BLAUCKAUSS</t>
  </si>
  <si>
    <t>DCK-102</t>
  </si>
  <si>
    <t>DCK-CGA2022-J014</t>
  </si>
  <si>
    <t>DCK-103</t>
  </si>
  <si>
    <t>DCK-CGA2021-Q184</t>
  </si>
  <si>
    <t>DEUX PLATEAUX SICOGI</t>
  </si>
  <si>
    <t>DCK-104</t>
  </si>
  <si>
    <t>5 PAINS 2 POISSONS</t>
  </si>
  <si>
    <t>COCODY CENTRE FACE INADES</t>
  </si>
  <si>
    <t>DCK-105</t>
  </si>
  <si>
    <t>DCK-CGA2021-Q165</t>
  </si>
  <si>
    <t>LYCEE  TECHNIQUE</t>
  </si>
  <si>
    <t>DCK-106</t>
  </si>
  <si>
    <t>DCK-CGA2021-Q125</t>
  </si>
  <si>
    <t>ADINGRA EPSE KOUASSI KABRAN</t>
  </si>
  <si>
    <t xml:space="preserve">COCODY 7E TRANCHE </t>
  </si>
  <si>
    <t>DCK-107</t>
  </si>
  <si>
    <t>DCK-CGA2021-Q178</t>
  </si>
  <si>
    <t>AHOUANTO EULOGE</t>
  </si>
  <si>
    <t>PLATEAU DOKUI MAHOU</t>
  </si>
  <si>
    <t>DCK-108</t>
  </si>
  <si>
    <t>DCK-CGA2021-Q126</t>
  </si>
  <si>
    <t>AMANI AHOU EPSE DIOP</t>
  </si>
  <si>
    <t xml:space="preserve">0707838K </t>
  </si>
  <si>
    <t>DCK-109</t>
  </si>
  <si>
    <t>DCK-CGA2020-A55</t>
  </si>
  <si>
    <t>BP CENTRE</t>
  </si>
  <si>
    <t>DCK-110</t>
  </si>
  <si>
    <t>DCK-CGA2021-Q127</t>
  </si>
  <si>
    <t>ABIDJAN</t>
  </si>
  <si>
    <t>DCK-111</t>
  </si>
  <si>
    <t>DCK-CGA2021-Q128</t>
  </si>
  <si>
    <t>ANGUI NEE COULIBALY KOROTOUMOU</t>
  </si>
  <si>
    <t>DCK-112</t>
  </si>
  <si>
    <t>DCK-CGA2021-Q130</t>
  </si>
  <si>
    <t>RIVIERA ANONO -</t>
  </si>
  <si>
    <t>DCK-113</t>
  </si>
  <si>
    <t>DCK-CGA2020-A106</t>
  </si>
  <si>
    <t>COCODY VALLON CITE CDCI</t>
  </si>
  <si>
    <t>DCK-114</t>
  </si>
  <si>
    <t>DCK-CGA2022-J028</t>
  </si>
  <si>
    <t>COCODY ANGRE PETRO IVOIR</t>
  </si>
  <si>
    <t>DCK-115</t>
  </si>
  <si>
    <t>DCK-CGA2022-J047</t>
  </si>
  <si>
    <t>2232993B</t>
  </si>
  <si>
    <t>DCK-116</t>
  </si>
  <si>
    <t>DCK-CGA2021-Q181</t>
  </si>
  <si>
    <t>COULIBALY AMINATA (DJIGUIFORO SERVICE)</t>
  </si>
  <si>
    <t>ANGRE CAFFEIER 6</t>
  </si>
  <si>
    <t>DCK-117</t>
  </si>
  <si>
    <t>DCK-CGA202-A54</t>
  </si>
  <si>
    <t>DCK-118</t>
  </si>
  <si>
    <t>DCK-CGA2022-J072</t>
  </si>
  <si>
    <t xml:space="preserve">TEE </t>
  </si>
  <si>
    <t>COCODY  ANGRE</t>
  </si>
  <si>
    <t>DCK-119</t>
  </si>
  <si>
    <t>CRISTY'S FOOD AND SERVICE</t>
  </si>
  <si>
    <t>COCODY RIVTERA GOLF</t>
  </si>
  <si>
    <t>DCK-120</t>
  </si>
  <si>
    <t>DCK-CGA2020-A107</t>
  </si>
  <si>
    <t>COCODY II PLATEAUX SIDCI</t>
  </si>
  <si>
    <t>2171763D</t>
  </si>
  <si>
    <t>DCK-121</t>
  </si>
  <si>
    <t>DCK-CGA2023-J007</t>
  </si>
  <si>
    <t>DELABEL SERVICE SARL</t>
  </si>
  <si>
    <t>RIVIERA</t>
  </si>
  <si>
    <t>DCK-122</t>
  </si>
  <si>
    <t>DCK-CGA2021-Q49</t>
  </si>
  <si>
    <t>DIGITAL COMMUNICATION TECHNOLOGY AND C</t>
  </si>
  <si>
    <t>YOPOUGON SIPOREX</t>
  </si>
  <si>
    <t>DCK-123</t>
  </si>
  <si>
    <t>DCK-CGA2021-Q129</t>
  </si>
  <si>
    <t>DIMBOUR ANTOINETTE</t>
  </si>
  <si>
    <t>PHARLACIE BELLEVILLE</t>
  </si>
  <si>
    <t>DCK-124</t>
  </si>
  <si>
    <t>DCK-CGA2020-A090</t>
  </si>
  <si>
    <t>DJETOUAN MARTHE</t>
  </si>
  <si>
    <t>DCK-125</t>
  </si>
  <si>
    <t>DCK-CGA2021-Q121</t>
  </si>
  <si>
    <t>COCODY II PLATEAUX</t>
  </si>
  <si>
    <t>DCK-126</t>
  </si>
  <si>
    <t>DCK-CGA2022-J027</t>
  </si>
  <si>
    <t xml:space="preserve">ANGRE PHARMACIE DES ALLEES </t>
  </si>
  <si>
    <t>DCK-127</t>
  </si>
  <si>
    <t>DCK-CGA2022-J030</t>
  </si>
  <si>
    <t>COCODY BVD MITTERAND -</t>
  </si>
  <si>
    <t>DCK-128</t>
  </si>
  <si>
    <t>DCK-CGA2021-Q167</t>
  </si>
  <si>
    <t>DCK-129</t>
  </si>
  <si>
    <t>DCK-CGA2022-J045</t>
  </si>
  <si>
    <t>KAMBO AMENAN</t>
  </si>
  <si>
    <t>ANGRE</t>
  </si>
  <si>
    <t>DCK-130</t>
  </si>
  <si>
    <t>DCK-CGA2021-Q134</t>
  </si>
  <si>
    <t>II PLTX CARREFOUR ADAMA SANOGO</t>
  </si>
  <si>
    <t>DCK-131</t>
  </si>
  <si>
    <t>DCK-CGA2020-A092</t>
  </si>
  <si>
    <t>KOBELEGNAN OLGA PRESTIGE SERVICES</t>
  </si>
  <si>
    <t>RIV 1 - LOT 948</t>
  </si>
  <si>
    <t>DCK-132</t>
  </si>
  <si>
    <t>DCK-CGA2021-Q135</t>
  </si>
  <si>
    <t>KONE NILA ABY(REFLEX COMMUNICATION )</t>
  </si>
  <si>
    <t>COCODY SICOGI - LOT 86II</t>
  </si>
  <si>
    <t>1631770T</t>
  </si>
  <si>
    <t>DCK-133</t>
  </si>
  <si>
    <t>DCK-CGA2020-A097</t>
  </si>
  <si>
    <t>KOUAME AKISSI (AHEKPA)</t>
  </si>
  <si>
    <t xml:space="preserve">COCODY II OLATEAU DOKUI </t>
  </si>
  <si>
    <t>DCK-134</t>
  </si>
  <si>
    <t>DCK-CGA2020-A101</t>
  </si>
  <si>
    <t>COCODY 9ÃƒË†ME TRANCHE</t>
  </si>
  <si>
    <t>DCK-135</t>
  </si>
  <si>
    <t>DCK-CGA2021-Q124</t>
  </si>
  <si>
    <t>KOUAME TCHOUOI EPSE MENEY (ETS BEKY)</t>
  </si>
  <si>
    <t>ANGRE -CITE PAPAYER</t>
  </si>
  <si>
    <t>DCK-136</t>
  </si>
  <si>
    <t>DCK-CGA2021-Q131</t>
  </si>
  <si>
    <t>KOUKOUGNON OZIGBI JOSIANE</t>
  </si>
  <si>
    <t>COCODY IIPLATEAUX 7E T</t>
  </si>
  <si>
    <t>DCK-137</t>
  </si>
  <si>
    <t>DCK-CGA2021-Q133</t>
  </si>
  <si>
    <t>DCK-138</t>
  </si>
  <si>
    <t>DCK-CGA2020-A094</t>
  </si>
  <si>
    <t>M COMPANY</t>
  </si>
  <si>
    <t>DCK-139</t>
  </si>
  <si>
    <t>DCK-CGA2021-Q177</t>
  </si>
  <si>
    <t>MENEY SERVICE</t>
  </si>
  <si>
    <t>DCK-140</t>
  </si>
  <si>
    <t>DCK-CGA2021-Q176</t>
  </si>
  <si>
    <t>MLE MASSEMORY FOFANA (ETS MAFODI )</t>
  </si>
  <si>
    <t xml:space="preserve">ANGRE CAFEIIER </t>
  </si>
  <si>
    <t>DCK-141</t>
  </si>
  <si>
    <t>DCK-CGA2021-Q137</t>
  </si>
  <si>
    <t>O D'AFRIQUE</t>
  </si>
  <si>
    <t>ANGRE 8E TRANCHE</t>
  </si>
  <si>
    <t>01 BP 1343 ABID</t>
  </si>
  <si>
    <t>CI-ABJ-03-2023-B22-00002</t>
  </si>
  <si>
    <t>DCK-142</t>
  </si>
  <si>
    <t>DCK-CGA2021-Q169</t>
  </si>
  <si>
    <t>COMMERCE DE MATERIEL D'EQUIPEMENT</t>
  </si>
  <si>
    <t>II Pateaux I</t>
  </si>
  <si>
    <t>DCK-143</t>
  </si>
  <si>
    <t>DCK-CGA2022-J044</t>
  </si>
  <si>
    <t xml:space="preserve">COCODY CENTRE </t>
  </si>
  <si>
    <t>DCK-144</t>
  </si>
  <si>
    <t>DCK-CGA2021-Q170</t>
  </si>
  <si>
    <t>DCK-145</t>
  </si>
  <si>
    <t>DCK-CGA2021-Q151</t>
  </si>
  <si>
    <t>SOCIETE IVOIRIENNE DE VENTE D</t>
  </si>
  <si>
    <t>DCK-146</t>
  </si>
  <si>
    <t>DCK-CGA2021-Q-162</t>
  </si>
  <si>
    <t>SOCIETE NIANGADO AMADOU</t>
  </si>
  <si>
    <t>1819656H</t>
  </si>
  <si>
    <t>DCK-147</t>
  </si>
  <si>
    <t>COCODY CAFFEIER II</t>
  </si>
  <si>
    <t>DCK-148</t>
  </si>
  <si>
    <t>DCK-CGA2020-A100</t>
  </si>
  <si>
    <t>COCODY, RIVIERA PALMERAIE</t>
  </si>
  <si>
    <t>DCK-149</t>
  </si>
  <si>
    <t>DCK-CGA2021-Q168</t>
  </si>
  <si>
    <t>TRAZIE HOUILE LUCIE</t>
  </si>
  <si>
    <t xml:space="preserve">COCODY  II PLATEAUX AGHIEN </t>
  </si>
  <si>
    <t>DCK-150</t>
  </si>
  <si>
    <t>DCK-CGA2022-J056</t>
  </si>
  <si>
    <t>COCODY ANGRE DJIBI</t>
  </si>
  <si>
    <t>DCK-151</t>
  </si>
  <si>
    <t>DCK-CGA2022-J077</t>
  </si>
  <si>
    <t>WEST AFRICA FOOD -AS -AGRILAND</t>
  </si>
  <si>
    <t xml:space="preserve">COCODY II PLATEAUX 7E TRANCHE </t>
  </si>
  <si>
    <t>DCK-152</t>
  </si>
  <si>
    <t>YAO N'GUESSAN ANGE FABRICE</t>
  </si>
  <si>
    <t>DCK-153</t>
  </si>
  <si>
    <t>DCK-CGA2021-Q139</t>
  </si>
  <si>
    <t xml:space="preserve">RIVIERA BONOUMIN </t>
  </si>
  <si>
    <t>DCK-154</t>
  </si>
  <si>
    <t>DCK-CGA2021-Q144</t>
  </si>
  <si>
    <t xml:space="preserve">SAINT JEAN </t>
  </si>
  <si>
    <t>DCK-155</t>
  </si>
  <si>
    <t>DCK-CGA2021-Q140</t>
  </si>
  <si>
    <t>ANNIE AUTO</t>
  </si>
  <si>
    <t>BINGERVILLE- BLANCHON B -</t>
  </si>
  <si>
    <t>DCK-156</t>
  </si>
  <si>
    <t>DCK-CGA2020-A074</t>
  </si>
  <si>
    <t>DCK-157</t>
  </si>
  <si>
    <t>DCK-CGA2021-Q157</t>
  </si>
  <si>
    <t xml:space="preserve">COCODY ANGRE MAHOU </t>
  </si>
  <si>
    <t>DCK-158</t>
  </si>
  <si>
    <t>DCK-CGA2022-J040</t>
  </si>
  <si>
    <t>COCODY II PLATEAUX MOBILE</t>
  </si>
  <si>
    <t>DCK-159</t>
  </si>
  <si>
    <t>DCK-CGA2022-J042</t>
  </si>
  <si>
    <t>BELCAD AND KAPSY CORPORATION</t>
  </si>
  <si>
    <t>DCK-160</t>
  </si>
  <si>
    <t>DCK-CGA2022-J041</t>
  </si>
  <si>
    <t>BEDA KOUSSO</t>
  </si>
  <si>
    <t>2198797U</t>
  </si>
  <si>
    <t>DCK-161</t>
  </si>
  <si>
    <t>DCK-CGA2023-J033</t>
  </si>
  <si>
    <t>BAH SOULEYMAN ET FILS SERVICES</t>
  </si>
  <si>
    <t xml:space="preserve">BINGERVILLE BLANCHON </t>
  </si>
  <si>
    <t>DCK-162</t>
  </si>
  <si>
    <t>DCK-CGA2023-J013</t>
  </si>
  <si>
    <t>DALY GNAGOUE</t>
  </si>
  <si>
    <t xml:space="preserve">BINGERVILLE LYCEE JEUNE FILLE </t>
  </si>
  <si>
    <t>1623906Y</t>
  </si>
  <si>
    <t>DCK-163</t>
  </si>
  <si>
    <t>DCK-CGA2023-J044</t>
  </si>
  <si>
    <t>DISTRIBUTION SADO ET FILS</t>
  </si>
  <si>
    <t xml:space="preserve">BINGERVILLE BERLIN </t>
  </si>
  <si>
    <t>DCK-164</t>
  </si>
  <si>
    <t>DCK-CGA2023-J014</t>
  </si>
  <si>
    <t>DCK-165</t>
  </si>
  <si>
    <t>DCK-CGA2020-A065</t>
  </si>
  <si>
    <t>HAMDAN ALUMINIUM</t>
  </si>
  <si>
    <t>2245519H</t>
  </si>
  <si>
    <t>DCK-166</t>
  </si>
  <si>
    <t>ISSELKOU BECHIRY SENY</t>
  </si>
  <si>
    <t>DCK-167</t>
  </si>
  <si>
    <t>DCK-CGA2022-J005</t>
  </si>
  <si>
    <t>BINGERVIILE ESIE</t>
  </si>
  <si>
    <t>2051875X</t>
  </si>
  <si>
    <t>DCK-168</t>
  </si>
  <si>
    <t>DCK-CGA2023-J012</t>
  </si>
  <si>
    <t xml:space="preserve">BINGERVILLE GARE ROUTIERE </t>
  </si>
  <si>
    <t>DCK-169</t>
  </si>
  <si>
    <t>DCK-CGA2020-A067</t>
  </si>
  <si>
    <t>ANGRE TERMINUS 81/8II</t>
  </si>
  <si>
    <t>DCK-170</t>
  </si>
  <si>
    <t>TOUNDE QUINCAILLERIE</t>
  </si>
  <si>
    <t>DCK-171</t>
  </si>
  <si>
    <t>DCK-172</t>
  </si>
  <si>
    <t>DCK-CGA2020-A071</t>
  </si>
  <si>
    <t>SIDI OULD MOHAMED</t>
  </si>
  <si>
    <t xml:space="preserve">BINGERVILLE HARRIS </t>
  </si>
  <si>
    <t>1107762T</t>
  </si>
  <si>
    <t>DCK-173</t>
  </si>
  <si>
    <t>DCK-CGA2020-A072</t>
  </si>
  <si>
    <t>INTERNATIONAL LANGUAGE OFFICE</t>
  </si>
  <si>
    <t>COCODY ANGRE STAR 5</t>
  </si>
  <si>
    <t>DCK-174</t>
  </si>
  <si>
    <t>DCK-CGA2023-J052</t>
  </si>
  <si>
    <t>ENCRE BLEU SUMMUM GROUPE</t>
  </si>
  <si>
    <t>II PLATEAUX</t>
  </si>
  <si>
    <t>DCK-175</t>
  </si>
  <si>
    <t>DCK-CGA2021-Q166</t>
  </si>
  <si>
    <t>GUERRIER MARKETING</t>
  </si>
  <si>
    <t>DCK-176</t>
  </si>
  <si>
    <t>DCK-CGA2021-Q145</t>
  </si>
  <si>
    <t>GROUPE ECOLE SEMPER ALTUS</t>
  </si>
  <si>
    <t>DCK-177</t>
  </si>
  <si>
    <t>ENTREPRISE ASSAMOA</t>
  </si>
  <si>
    <t>DCK-178</t>
  </si>
  <si>
    <t>AIG SA</t>
  </si>
  <si>
    <t>DCK-179</t>
  </si>
  <si>
    <t>SCAE SARL</t>
  </si>
  <si>
    <t>DCK-180</t>
  </si>
  <si>
    <t>DCK-181</t>
  </si>
  <si>
    <t>B-HOME SARL</t>
  </si>
  <si>
    <t>KOUMASSI REMBLAIS</t>
  </si>
  <si>
    <t>DCK-182</t>
  </si>
  <si>
    <t>LA FABRIQUE SAS</t>
  </si>
  <si>
    <t>DCK-301</t>
  </si>
  <si>
    <t>PHENIX VOYAGE</t>
  </si>
  <si>
    <t>SAM &amp; SONS SERVICES INTERNATIONAL</t>
  </si>
  <si>
    <t>ROYAL INVESTISSEMENT INTERNATIONAL</t>
  </si>
  <si>
    <t>A &amp; I VENTURE</t>
  </si>
  <si>
    <t>DCK-187</t>
  </si>
  <si>
    <t>EGTB SA</t>
  </si>
  <si>
    <t>COCODY RIVIERA PLAMERAIE</t>
  </si>
  <si>
    <t>DCK-CGA2024-A118</t>
  </si>
  <si>
    <t>RSI</t>
  </si>
  <si>
    <t>CI-ABJ-03-2023-B13-01091</t>
  </si>
  <si>
    <t>DCK-CGA2024-A117</t>
  </si>
  <si>
    <t>ABIDJAN-COCODY-RIVIERA2 SOGEFIA</t>
  </si>
  <si>
    <t>08 BP 1777 ABID</t>
  </si>
  <si>
    <t>CI-ABJ-03-2023-B17-00023</t>
  </si>
  <si>
    <t>DCK-CGA2024-A116</t>
  </si>
  <si>
    <t>Prestations d'Ã©coute active, Conseil, Formation, coaching,Management</t>
  </si>
  <si>
    <t>3D PRESTA SERVICES SARL</t>
  </si>
  <si>
    <t>GERANTE</t>
  </si>
  <si>
    <t>05 BP 512 ABIDJ</t>
  </si>
  <si>
    <t>CI-ABJ-03-2020-B12-10073</t>
  </si>
  <si>
    <t>2030191R</t>
  </si>
  <si>
    <t>tfdiabate@gmail.com</t>
  </si>
  <si>
    <t>DCK-191</t>
  </si>
  <si>
    <t>DCK-CGA2024-A007</t>
  </si>
  <si>
    <t>COMMERCE GENERAL</t>
  </si>
  <si>
    <t>CCE1701</t>
  </si>
  <si>
    <t>SOCIETE DE MENUISERIE ALUMINIUM ET DIVERS</t>
  </si>
  <si>
    <t>ABIDJAN-COCODY-RIVIERA-ABATTA-CARREFOUR MOSQUE</t>
  </si>
  <si>
    <t>01 BP 1785 Abid</t>
  </si>
  <si>
    <t>SMAD</t>
  </si>
  <si>
    <t>CI-ABJ-03-2023-B13-03049</t>
  </si>
  <si>
    <t>La menuiserie Aliminium</t>
  </si>
  <si>
    <t>IX</t>
  </si>
  <si>
    <t>IND1901</t>
  </si>
  <si>
    <t>Abidjan Cocody II plateaux Djibi</t>
  </si>
  <si>
    <t xml:space="preserve">03 BP 1360 ABJ </t>
  </si>
  <si>
    <t>03 BP 1360 ABJ 03</t>
  </si>
  <si>
    <t>saade3565@gmail.com</t>
  </si>
  <si>
    <t>DCK-193</t>
  </si>
  <si>
    <t>DCK-CGA2024-A009</t>
  </si>
  <si>
    <t>COMMERCE ET PATISSERIE</t>
  </si>
  <si>
    <t>RT</t>
  </si>
  <si>
    <t>CCE0102</t>
  </si>
  <si>
    <t>Cocody 8ÃƒÂ¨me TRANCHE</t>
  </si>
  <si>
    <t>EXPLOITANTE</t>
  </si>
  <si>
    <t>18 BP 2903 ABID</t>
  </si>
  <si>
    <t>KERABY</t>
  </si>
  <si>
    <t>CI-ABJ-2016-A-09129</t>
  </si>
  <si>
    <t>mariizoudi@gmail.com</t>
  </si>
  <si>
    <t>DCK-194</t>
  </si>
  <si>
    <t>DCK-CGA2024-A010</t>
  </si>
  <si>
    <t>VENTE DE VETEMENT ET ACCESSOIRES DE BEBE IMPORT/EXPORT</t>
  </si>
  <si>
    <t>CCE0802</t>
  </si>
  <si>
    <t>NIETA SERVICES</t>
  </si>
  <si>
    <t>COCODY RIVIERA PALMERAIE IMMEUBLE WALEBO</t>
  </si>
  <si>
    <t>08 BP 3228 ABID</t>
  </si>
  <si>
    <t>CI-ABJ-03-2023-B13-09820</t>
  </si>
  <si>
    <t>2304134X</t>
  </si>
  <si>
    <t>Issa.kane@nietaservices.com</t>
  </si>
  <si>
    <t>DCK-195</t>
  </si>
  <si>
    <t>DCK-CGA2024-A011</t>
  </si>
  <si>
    <t>ACHATS ET VENTES DE PRODUIT AGRICOLES</t>
  </si>
  <si>
    <t>CCE209</t>
  </si>
  <si>
    <t>COCODY LYCEE TECHNIQUE</t>
  </si>
  <si>
    <t xml:space="preserve">GERANTE </t>
  </si>
  <si>
    <t>06 BP 999 ABIDJ</t>
  </si>
  <si>
    <t>CI-ABJ-2017-B-1601</t>
  </si>
  <si>
    <t>DCK-196</t>
  </si>
  <si>
    <t>DCK-CGA2024-A047</t>
  </si>
  <si>
    <t xml:space="preserve">RECOUVREMENT DE CREANCE DE TAXI DIVERSES APPORTEUE D'AFFAIRES </t>
  </si>
  <si>
    <t>COCODY ANGRE CAFFEIER</t>
  </si>
  <si>
    <t xml:space="preserve">EXPLOITANTE </t>
  </si>
  <si>
    <t xml:space="preserve">ABIDJAN </t>
  </si>
  <si>
    <t>CI-ABJ-03-2022-M-02758</t>
  </si>
  <si>
    <t>DCK-197</t>
  </si>
  <si>
    <t>DCK-CGA2024-A012</t>
  </si>
  <si>
    <t xml:space="preserve">ACHAT, VENTE DE FOURNITURE, CONSTRUCTION, REFECTION DE BATIMENTS </t>
  </si>
  <si>
    <t>COCODY RIVIERA ATTOBAN PRES DU COMMISSARIAT 30e</t>
  </si>
  <si>
    <t>CI-ABJ-03-2023-B13-00762</t>
  </si>
  <si>
    <t>DCK-CGA2024-A114</t>
  </si>
  <si>
    <t>SCE0402</t>
  </si>
  <si>
    <t>COCODY MERMOZ SICOGI FACE PHARMACIE MERMOZ</t>
  </si>
  <si>
    <t>CI-ABJ-03-2022-B13-11642</t>
  </si>
  <si>
    <t>DCK-CGA2024-A113</t>
  </si>
  <si>
    <t>SANTE</t>
  </si>
  <si>
    <t>COCODY RIVIERA 2</t>
  </si>
  <si>
    <t>CI-ABJ-03-2022-B 13-08-07</t>
  </si>
  <si>
    <t>DCK-200</t>
  </si>
  <si>
    <t>DCK-CGA2024-A048</t>
  </si>
  <si>
    <t>PRESTATION DE SERVICES</t>
  </si>
  <si>
    <t>IND2302</t>
  </si>
  <si>
    <t>COCODY II PLATEAUX 7e TRANCHE</t>
  </si>
  <si>
    <t>CI-ABJ-2020-B-10223</t>
  </si>
  <si>
    <t>DCK-CGA2024-A112</t>
  </si>
  <si>
    <t>OX</t>
  </si>
  <si>
    <t>NOUVELLE GARE BINGERVILLE</t>
  </si>
  <si>
    <t xml:space="preserve">GERANT </t>
  </si>
  <si>
    <t>CI-ABJ-03-2023-B13-04782</t>
  </si>
  <si>
    <t>DCK-202</t>
  </si>
  <si>
    <t>DCK-CGA2024-A017</t>
  </si>
  <si>
    <t xml:space="preserve">COMMERCE </t>
  </si>
  <si>
    <t>SOCIETES DES COLLEGES UNIVERSITAIRES FRANCAISE</t>
  </si>
  <si>
    <t>II PLATEAUX VALLONS</t>
  </si>
  <si>
    <t xml:space="preserve">GERANT  </t>
  </si>
  <si>
    <t>SCUF</t>
  </si>
  <si>
    <t>CI-ABJ03-2023-M-15026</t>
  </si>
  <si>
    <t>DCK-204</t>
  </si>
  <si>
    <t>DCK-CGA2024-A019</t>
  </si>
  <si>
    <t xml:space="preserve">EDUCATION ENSEIGNEMENT </t>
  </si>
  <si>
    <t>LS</t>
  </si>
  <si>
    <t>SCE1501</t>
  </si>
  <si>
    <t>SAGNON EPSE SANOKO</t>
  </si>
  <si>
    <t>ABATTA CARREFOUR BECEAO</t>
  </si>
  <si>
    <t>06 BP2065 ABJ 0</t>
  </si>
  <si>
    <t>NE</t>
  </si>
  <si>
    <t>CI-ABJ-2019-A-18838</t>
  </si>
  <si>
    <t>Assitan_sagnon@yahoo.fr</t>
  </si>
  <si>
    <t>DCK-205</t>
  </si>
  <si>
    <t>DCK-CGA2024-A020</t>
  </si>
  <si>
    <t xml:space="preserve">CONSULTING </t>
  </si>
  <si>
    <t>IZ</t>
  </si>
  <si>
    <t>ART0705</t>
  </si>
  <si>
    <t>BINGERVILLE NON LOIN DE FREE WORLD</t>
  </si>
  <si>
    <t>CI-ABJ-2023-B13-05806</t>
  </si>
  <si>
    <t>DCK-206</t>
  </si>
  <si>
    <t>DCK-CGA2024-A021</t>
  </si>
  <si>
    <t xml:space="preserve">VENTES DE MATERIELS PRODUITS DE BEAUTE </t>
  </si>
  <si>
    <t>BT</t>
  </si>
  <si>
    <t>CCE0601</t>
  </si>
  <si>
    <t>BINGERVILLE COUP DE FREIN</t>
  </si>
  <si>
    <t>CI-ABJ-2018-A-05921</t>
  </si>
  <si>
    <t>DCK-207</t>
  </si>
  <si>
    <t>DCK-CGA2024-A022</t>
  </si>
  <si>
    <t xml:space="preserve">RESTAURATION NEM ET DIVERS </t>
  </si>
  <si>
    <t>SCE0204</t>
  </si>
  <si>
    <t>TRAZIE LOU NOBOUE NADEGE</t>
  </si>
  <si>
    <t>FAYA</t>
  </si>
  <si>
    <t>CI-ABJ-03-2023-A10-02618</t>
  </si>
  <si>
    <t>DCK-208</t>
  </si>
  <si>
    <t>DCK-CGA2024-A023</t>
  </si>
  <si>
    <t xml:space="preserve">MAQUILLAGE ET PRESTATION DE SERVICE </t>
  </si>
  <si>
    <t>VZ</t>
  </si>
  <si>
    <t>SCE19001</t>
  </si>
  <si>
    <t>06BP871 CIDEX 1</t>
  </si>
  <si>
    <t>IT - SC</t>
  </si>
  <si>
    <t>CI-ABJ-2011-B-2547</t>
  </si>
  <si>
    <t>DCK-CGA2024-A111</t>
  </si>
  <si>
    <t>COCODY 7Ã¨me tranche</t>
  </si>
  <si>
    <t>08 BP 2658 ABID</t>
  </si>
  <si>
    <t>CI-ABJ-03-2022-B13-11335</t>
  </si>
  <si>
    <t>DCK-210</t>
  </si>
  <si>
    <t>DCK-CGA2024-A030</t>
  </si>
  <si>
    <t>AUTRES TRAVAUX DE BATIMENTS</t>
  </si>
  <si>
    <t>COCODY ANGRE SOLEIL 3</t>
  </si>
  <si>
    <t>06 BP 631 ABIDJ</t>
  </si>
  <si>
    <t>CI-ABJ-03-2023-B13-02205</t>
  </si>
  <si>
    <t>DCK-211</t>
  </si>
  <si>
    <t>DCK-CGA2024-A031</t>
  </si>
  <si>
    <t>FORMATION EN SOUDURE,INSPECTION DE SOUDAGE</t>
  </si>
  <si>
    <t>STREET COTE D'IVOIRE</t>
  </si>
  <si>
    <t>COCODY 2 PLATEAUX</t>
  </si>
  <si>
    <t>26 BP 1377 ABID</t>
  </si>
  <si>
    <t>CI-ABJ-03-2022-B17-00004</t>
  </si>
  <si>
    <t>2209703X</t>
  </si>
  <si>
    <t>DCK-212</t>
  </si>
  <si>
    <t>DCK-CGA2024-A032</t>
  </si>
  <si>
    <t>TELECOMMUNICATION,FOURNISSEURS D'ACCES</t>
  </si>
  <si>
    <t>01 BP 1343 ABJI</t>
  </si>
  <si>
    <t>CI-ABJ-03-2022-B13-03433</t>
  </si>
  <si>
    <t>DCK-213</t>
  </si>
  <si>
    <t>DCK-CGA2024-A033</t>
  </si>
  <si>
    <t>O'D'AFRIQUE EQUIPEMENTS ET SERVICES</t>
  </si>
  <si>
    <t>COCODY 8Ã¨me TRANCHE CARREFOUR PRIERE</t>
  </si>
  <si>
    <t>2301810E</t>
  </si>
  <si>
    <t>DCK-214</t>
  </si>
  <si>
    <t>DCK-CGA2024-A034</t>
  </si>
  <si>
    <t>COMMERCE DE MATERIELS D'EQUIPEMENTS</t>
  </si>
  <si>
    <t>COCODY 2 PLATEAUX 7ÃƒÂ¨me TRANCHE</t>
  </si>
  <si>
    <t>CI-ABJ-2018-B-13366</t>
  </si>
  <si>
    <t>DCK-215</t>
  </si>
  <si>
    <t>DCK-CGA2024-A035</t>
  </si>
  <si>
    <t>VENTES DE MATERIEL INFORMATIQUE,MONETIQUE ET DEPLOIMENT</t>
  </si>
  <si>
    <t xml:space="preserve">01 BP 1317 ABJ </t>
  </si>
  <si>
    <t>abidjan</t>
  </si>
  <si>
    <t>CI-ABJ-03-2023-B12-05053</t>
  </si>
  <si>
    <t>DCK-216</t>
  </si>
  <si>
    <t>DCK-CGA2024-A036</t>
  </si>
  <si>
    <t>TRANSPORT ET LOCATION DIVERS</t>
  </si>
  <si>
    <t>LOCAMUR ABIDJAN</t>
  </si>
  <si>
    <t>2 PLATEAUX AVENU LAMBLIN</t>
  </si>
  <si>
    <t>CI-ABJ-032022-B13-04045</t>
  </si>
  <si>
    <t>2241891S</t>
  </si>
  <si>
    <t>DCK-217</t>
  </si>
  <si>
    <t>DCK-CGA2024-A037</t>
  </si>
  <si>
    <t>PRESTATION DES SOCIETES CIVILS IMMOBILIERE</t>
  </si>
  <si>
    <t>MADAME AFRIQUE</t>
  </si>
  <si>
    <t>COCODY 2 PLATAUX VALLON</t>
  </si>
  <si>
    <t>CI-ABJ-03-2023-B13-06381</t>
  </si>
  <si>
    <t>DCK-218</t>
  </si>
  <si>
    <t>DCK-CGA2024-A038</t>
  </si>
  <si>
    <t>COMMERCE DE COSTUME EN COTON</t>
  </si>
  <si>
    <t>COCODY RIVIERA ABATTA</t>
  </si>
  <si>
    <t xml:space="preserve">18 BP 4188 ABJ </t>
  </si>
  <si>
    <t>CI-ABJ-03-2020-B13-17045</t>
  </si>
  <si>
    <t>DCK-219</t>
  </si>
  <si>
    <t>DCK-CGA2024-A039</t>
  </si>
  <si>
    <t>ACHATS ET VENTES DE PRODUITS COSMETIQUES,COMMERCE GENERAL,ACHAT ET VENTE DE TERRAIN</t>
  </si>
  <si>
    <t>CCE1702</t>
  </si>
  <si>
    <t>CI-GRDBSM-2020A6404</t>
  </si>
  <si>
    <t>DCK-220</t>
  </si>
  <si>
    <t>DCK-CGA2024-A040</t>
  </si>
  <si>
    <t>K-GARDEN</t>
  </si>
  <si>
    <t>RUE DU CANAL A DROITE</t>
  </si>
  <si>
    <t>CI-ABJ-03-2023-B13-0</t>
  </si>
  <si>
    <t>2300025Z</t>
  </si>
  <si>
    <t>DCK-221</t>
  </si>
  <si>
    <t>DCK-CGA2024-A041</t>
  </si>
  <si>
    <t>RESTAURANTS</t>
  </si>
  <si>
    <t>PLATEAU DOKUI</t>
  </si>
  <si>
    <t>CI-ABJ-03-2023-B13-09568</t>
  </si>
  <si>
    <t>DCK-222</t>
  </si>
  <si>
    <t>DCK-CGA2024-A042</t>
  </si>
  <si>
    <t>COIFFURE ET PRODUIT DE BEAUTE</t>
  </si>
  <si>
    <t>INNOV 720</t>
  </si>
  <si>
    <t>BINGERVILLE FEH KESSE</t>
  </si>
  <si>
    <t xml:space="preserve">06 BP 6211 ABJ </t>
  </si>
  <si>
    <t>CI-ABJ-03-2022-B13-08464</t>
  </si>
  <si>
    <t>DCK-223</t>
  </si>
  <si>
    <t>DCK-CGA2024-A043</t>
  </si>
  <si>
    <t>LAVAGES,NETTOYAGE DE TEXTILLE</t>
  </si>
  <si>
    <t>RIVIERA 2 ANONO</t>
  </si>
  <si>
    <t>CI-ABJ-03-2022-B13-09572</t>
  </si>
  <si>
    <t>DCK-224</t>
  </si>
  <si>
    <t>DCK-CGA2024-A044</t>
  </si>
  <si>
    <t>ASSURANCE ET REASSURANCE</t>
  </si>
  <si>
    <t>COCODY RIVIERA PALMERAIE</t>
  </si>
  <si>
    <t>04 BP 1922 ABID</t>
  </si>
  <si>
    <t>CI-ABJ-2021-B13-07507</t>
  </si>
  <si>
    <t>DCK-225</t>
  </si>
  <si>
    <t>DCK-CGA2023-J008</t>
  </si>
  <si>
    <t>L'ESTHETIQUE, SOINS DE BEAUTE</t>
  </si>
  <si>
    <t>SCE1901</t>
  </si>
  <si>
    <t>AGNERO DEMEL JOSEPH IVERSON</t>
  </si>
  <si>
    <t>DOG CLUB</t>
  </si>
  <si>
    <t>CI-ABJ-2020-A-06594</t>
  </si>
  <si>
    <t>2021646T</t>
  </si>
  <si>
    <t>DCK-227</t>
  </si>
  <si>
    <t>DCK-CGA2024-A046</t>
  </si>
  <si>
    <t>GARDERIE-DRESSAGE-TOILETTAGE DES CHIENS</t>
  </si>
  <si>
    <t>ART0902</t>
  </si>
  <si>
    <t>GROUP SCOLAIRE MASKADI</t>
  </si>
  <si>
    <t>BINGERVILLE CITE DFP ANNA</t>
  </si>
  <si>
    <t>25 BP 104 ABIDJ</t>
  </si>
  <si>
    <t>DCK-228</t>
  </si>
  <si>
    <t>DCK-CGA2024-A051</t>
  </si>
  <si>
    <t>ENSEIGNEMENT</t>
  </si>
  <si>
    <t>SCE1502</t>
  </si>
  <si>
    <t>COCODY 2 PLATEAUX 7IEME TRANCHE</t>
  </si>
  <si>
    <t>28 BP 1669 ABID</t>
  </si>
  <si>
    <t>CI-ABJ-03-2023-B12-05450</t>
  </si>
  <si>
    <t>DCK-231</t>
  </si>
  <si>
    <t>DCK-CGA2024-A064</t>
  </si>
  <si>
    <t>BUREAU D'ETUDE</t>
  </si>
  <si>
    <t>RIVIERA CITE BELLE FLEUR</t>
  </si>
  <si>
    <t>01 BP 3927 ABID</t>
  </si>
  <si>
    <t>CI-ABJ-2019-B-00904</t>
  </si>
  <si>
    <t>DCK-232</t>
  </si>
  <si>
    <t>DCK-CGA2024-A065</t>
  </si>
  <si>
    <t>ACTIVITE JURIDIQUE,COMPTABLE,FISCALE</t>
  </si>
  <si>
    <t>01 BP 845 ABIDJ</t>
  </si>
  <si>
    <t>CI-ABJ-03-2022-A10-00030</t>
  </si>
  <si>
    <t>DCK-233</t>
  </si>
  <si>
    <t>DCK-CGA2024-A066</t>
  </si>
  <si>
    <t>ACTIVITE JURIDIQUE,COMPTABLE ET FISCALE</t>
  </si>
  <si>
    <t>520 HOTEL ET RESIDENCE</t>
  </si>
  <si>
    <t>PORT-BOUET</t>
  </si>
  <si>
    <t>CI-ABJ-03-2022-B13-05843</t>
  </si>
  <si>
    <t>2242634F</t>
  </si>
  <si>
    <t>DCK-234</t>
  </si>
  <si>
    <t>DCK-CGA2024-A067</t>
  </si>
  <si>
    <t>HOTELS</t>
  </si>
  <si>
    <t>COCODY ANGRE 7 IEME TRANCHE</t>
  </si>
  <si>
    <t>28BP1669 ABIDJA</t>
  </si>
  <si>
    <t>CI-ABJ-03-2023-B13-12198</t>
  </si>
  <si>
    <t>Info01cfa.ci@gmail.com</t>
  </si>
  <si>
    <t>DCK-235</t>
  </si>
  <si>
    <t>DCK-CGA2024-A068</t>
  </si>
  <si>
    <t>POISSONNERIE,ACTIVITES DE PISCICULTURE</t>
  </si>
  <si>
    <t>COCODY ANGRE BATIM</t>
  </si>
  <si>
    <t>06 BP 2168 ABID</t>
  </si>
  <si>
    <t>JDA</t>
  </si>
  <si>
    <t>CI-ABJ-03-2022-B-12-02121</t>
  </si>
  <si>
    <t>2239607C</t>
  </si>
  <si>
    <t>AGRICULTURE</t>
  </si>
  <si>
    <t>DV</t>
  </si>
  <si>
    <t>AGR0502</t>
  </si>
  <si>
    <t>TRADE OF ROYALE</t>
  </si>
  <si>
    <t>2 PLATEAUX VALLON</t>
  </si>
  <si>
    <t>CI-ABJ-03-2022-B13-10636</t>
  </si>
  <si>
    <t>DCK-237</t>
  </si>
  <si>
    <t>DCK-CGA2024-A025</t>
  </si>
  <si>
    <t>COCODY RIVIERA PALMERAIE/ CENTRE COMMUNAUTAIRE URBAIN</t>
  </si>
  <si>
    <t>ABIDJAN ABOBO</t>
  </si>
  <si>
    <t>CI-ABJ-2015-A-19315</t>
  </si>
  <si>
    <t>Seydousanogo@gmail.com</t>
  </si>
  <si>
    <t>DCK-238</t>
  </si>
  <si>
    <t>DCK-CGA2024-A026</t>
  </si>
  <si>
    <t>VENTE DE MATERIEL DE CONSTRUCTION ET ACCESSOIRES</t>
  </si>
  <si>
    <t>TX</t>
  </si>
  <si>
    <t>MAIEZ.CORPORATION</t>
  </si>
  <si>
    <t>COCODY RIVIERA AKOUEDO ZONE ATCI</t>
  </si>
  <si>
    <t>13 BP 657 ABJ 1</t>
  </si>
  <si>
    <t>MZC</t>
  </si>
  <si>
    <t>CI-ABJ-03-2024-B13-00561</t>
  </si>
  <si>
    <t>0069041Q</t>
  </si>
  <si>
    <t>maiezcorporation@gmail.com</t>
  </si>
  <si>
    <t>DCK-239</t>
  </si>
  <si>
    <t>DCK-CGA2024-A027</t>
  </si>
  <si>
    <t>COCODY RIVIERA PALMERAIE/ EGLISE STE FAMILLE</t>
  </si>
  <si>
    <t>EXPLOITATNTE INDIVIDUELLE</t>
  </si>
  <si>
    <t>CI-ABJ-2005-A-3163</t>
  </si>
  <si>
    <t>ytaboutique@gmail.com</t>
  </si>
  <si>
    <t>DCK-240</t>
  </si>
  <si>
    <t>DCK-CGA2024-A028</t>
  </si>
  <si>
    <t>COUTURIER MODELISTE ET DIVERS</t>
  </si>
  <si>
    <t>BK</t>
  </si>
  <si>
    <t>ART0704</t>
  </si>
  <si>
    <t>COCODY 2 PLATEAUX DERRIERE SOCOCE PRECISEMENT PRES DU GARAGE CFA</t>
  </si>
  <si>
    <t>CI-ABJ-03-2023-B13-07295</t>
  </si>
  <si>
    <t>DCK-241</t>
  </si>
  <si>
    <t>DCK-CGA2024-A029</t>
  </si>
  <si>
    <t>FORMATION ET ETUDE DIAGNOSTIC</t>
  </si>
  <si>
    <t>KZ</t>
  </si>
  <si>
    <t>DCAUTOSERVICES</t>
  </si>
  <si>
    <t>EXPLOITANT</t>
  </si>
  <si>
    <t>CI-ABJ-03-2023-A10-03505</t>
  </si>
  <si>
    <t>2305119S</t>
  </si>
  <si>
    <t>DCK-242</t>
  </si>
  <si>
    <t>DCK-CGA2024-A018</t>
  </si>
  <si>
    <t>DIAGNOSTIC AUTO</t>
  </si>
  <si>
    <t>08 BP 01900 ABI</t>
  </si>
  <si>
    <t>CI-ABJ-03-2023-B12-06493</t>
  </si>
  <si>
    <t>2305161A</t>
  </si>
  <si>
    <t>DCK-243</t>
  </si>
  <si>
    <t>DCK-CGA2024-A045</t>
  </si>
  <si>
    <t>RAXOL-CI</t>
  </si>
  <si>
    <t>COCODY AKUEDO</t>
  </si>
  <si>
    <t xml:space="preserve">21 BP 1006 ABJ </t>
  </si>
  <si>
    <t>CI-ABJ-2020-M-01537</t>
  </si>
  <si>
    <t>1860532S</t>
  </si>
  <si>
    <t>DCK-244</t>
  </si>
  <si>
    <t>DCK-CGA2024-A016</t>
  </si>
  <si>
    <t>REPRESENTATION COMMERCIALE IMPORT</t>
  </si>
  <si>
    <t>IN</t>
  </si>
  <si>
    <t>GAZ SERVICES TECHNIQUE SARL-P</t>
  </si>
  <si>
    <t>COCODY GARAGE CFA</t>
  </si>
  <si>
    <t xml:space="preserve">03 BP 1860 ABJ </t>
  </si>
  <si>
    <t>CI-ABJ-03-2018-B12-23720</t>
  </si>
  <si>
    <t>1846257C</t>
  </si>
  <si>
    <t>DCK-245</t>
  </si>
  <si>
    <t>DCK-CGA2024-A049</t>
  </si>
  <si>
    <t>SPECIALISTE DES NOUVELLES TECNOLOGIES ET FROID</t>
  </si>
  <si>
    <t>SCE0901</t>
  </si>
  <si>
    <t>CI-ABI-2016-B-555</t>
  </si>
  <si>
    <t>DCK-246</t>
  </si>
  <si>
    <t>DCK-CGA2023-J055</t>
  </si>
  <si>
    <t>MV</t>
  </si>
  <si>
    <t>COCODY ABATTA CITE NICOPOLIS VILLAS 101</t>
  </si>
  <si>
    <t>NID</t>
  </si>
  <si>
    <t>CI-ABJ-03-2023-B13-09558</t>
  </si>
  <si>
    <t>DCK-247</t>
  </si>
  <si>
    <t>DCK-CGA2023-J056</t>
  </si>
  <si>
    <t>IMPRIMERIE</t>
  </si>
  <si>
    <t>IK</t>
  </si>
  <si>
    <t>POKOU AND DAUGHIERS</t>
  </si>
  <si>
    <t>BINGERVILLE AKANDJE II</t>
  </si>
  <si>
    <t xml:space="preserve">06 BP 6188 ABJ </t>
  </si>
  <si>
    <t>CI-ABJ-03-2021-B13-05464</t>
  </si>
  <si>
    <t>2170071C</t>
  </si>
  <si>
    <t>DCK-248</t>
  </si>
  <si>
    <t>DCK-CGA2024-A069</t>
  </si>
  <si>
    <t>PRESTATIONS DE SERVICES</t>
  </si>
  <si>
    <t>KY</t>
  </si>
  <si>
    <t>DESIGN YEDIÃŠ DECO</t>
  </si>
  <si>
    <t>DYD</t>
  </si>
  <si>
    <t>DCK-CGA2024-A109</t>
  </si>
  <si>
    <t>CCE0803</t>
  </si>
  <si>
    <t>ATELER V-DESIGN</t>
  </si>
  <si>
    <t>04 BP 1041 ABID</t>
  </si>
  <si>
    <t>CI-ABJ-03-2021-B13-05438</t>
  </si>
  <si>
    <t>DCK-CGA2024-A108</t>
  </si>
  <si>
    <t>ARCHITECTURES D'INTERIEUR-IMMOBILIERS</t>
  </si>
  <si>
    <t>LV</t>
  </si>
  <si>
    <t>COCODY II PLATEAU VALLON</t>
  </si>
  <si>
    <t>05 BP 258 CIDEX</t>
  </si>
  <si>
    <t>CI-ABJ-2019-B-14725</t>
  </si>
  <si>
    <t>DCK-CGA2024-A107</t>
  </si>
  <si>
    <t>AGENCE DE TOURISME</t>
  </si>
  <si>
    <t>MX</t>
  </si>
  <si>
    <t>SCE0201</t>
  </si>
  <si>
    <t xml:space="preserve">28 BP 1669 ABJ </t>
  </si>
  <si>
    <t>CI-ABJ-03-2023-B13-10400</t>
  </si>
  <si>
    <t>ferreol52@gmail.com</t>
  </si>
  <si>
    <t>DCK-252</t>
  </si>
  <si>
    <t>DCK-CGA2024-A072</t>
  </si>
  <si>
    <t>CI-ABJ-03-2021-B12-0159S</t>
  </si>
  <si>
    <t>DCK-253</t>
  </si>
  <si>
    <t>DCK-CGA2024-A073</t>
  </si>
  <si>
    <t>ARCHITECTURE ET DESIGN,AMENAGEMENT</t>
  </si>
  <si>
    <t>ANGRE 8ÃƒÂ¨me TRANCHE</t>
  </si>
  <si>
    <t>CI-ABJ-03-2023-B13-11501</t>
  </si>
  <si>
    <t>DCK-254</t>
  </si>
  <si>
    <t>DCK-CGA2024-A074</t>
  </si>
  <si>
    <t>COMMERCE GENERALE</t>
  </si>
  <si>
    <t>COCODY II PLATEAUX 7iÃ¨me TRANCHE</t>
  </si>
  <si>
    <t>06 BP 6647 ABID</t>
  </si>
  <si>
    <t>CI-ABJ-2019-B-04964</t>
  </si>
  <si>
    <t>DCK-255</t>
  </si>
  <si>
    <t>DCK-CGA2020-A103</t>
  </si>
  <si>
    <t>IPS-CÃ”TE D'IVOIRE</t>
  </si>
  <si>
    <t>16 BP 1316 ABID</t>
  </si>
  <si>
    <t>IPS-CI</t>
  </si>
  <si>
    <t>CI-ABJ-2016-B-5956</t>
  </si>
  <si>
    <t>DCK-256</t>
  </si>
  <si>
    <t>DCK-CGA2022-J037</t>
  </si>
  <si>
    <t>VENTE DE FOURNITURE DE BUREAU, DE MEUBLE, DE MATERIELS DE CONSTRUCTION</t>
  </si>
  <si>
    <t>OW</t>
  </si>
  <si>
    <t>27 BP 1194 ABID</t>
  </si>
  <si>
    <t>BBD</t>
  </si>
  <si>
    <t>DCK-257</t>
  </si>
  <si>
    <t>DCK-CGA2022-J026</t>
  </si>
  <si>
    <t>BUREAU D'AFFAIRES IMMOBILIERE</t>
  </si>
  <si>
    <t>BTP0205</t>
  </si>
  <si>
    <t>CLAP PROCUREMENT CÃ”TE D'IVOIRE</t>
  </si>
  <si>
    <t>06 BP 1727 ABID</t>
  </si>
  <si>
    <t>CI-ABJ-2017-B-13242</t>
  </si>
  <si>
    <t>DCK-258</t>
  </si>
  <si>
    <t>DCK-CGA2022-J032</t>
  </si>
  <si>
    <t>L'IMPORTATION ET LA DISTRIBUTION DE PIECES DETACHEES</t>
  </si>
  <si>
    <t>LX</t>
  </si>
  <si>
    <t>CCE0105</t>
  </si>
  <si>
    <t>COCODY RIVIERA ABATTA NOUVEAU GOUDRON VERS BLD SIR CITE PRESTIGE 2</t>
  </si>
  <si>
    <t xml:space="preserve">19 BP 1392 ABJ </t>
  </si>
  <si>
    <t>CI-ABJ-03-2022-B13-04073</t>
  </si>
  <si>
    <t>cool_ismael@yahoo.fr</t>
  </si>
  <si>
    <t>DCK-259</t>
  </si>
  <si>
    <t>DCK-CGA2024-A052</t>
  </si>
  <si>
    <t>CONCEPTION ET DEVELOPPEMENT DE LOGICIELS INFORMATIQUES</t>
  </si>
  <si>
    <t xml:space="preserve">01 BP 10683 ABJ 01 </t>
  </si>
  <si>
    <t>01 BP 10683 ABJ</t>
  </si>
  <si>
    <t>ND</t>
  </si>
  <si>
    <t>CI-ABJ-2019-B-02186</t>
  </si>
  <si>
    <t>DCK-CGA2021-Q147</t>
  </si>
  <si>
    <t>DIFFUSION D'OUVRAGES, ABONNEMENT AUX REVUES, DOCUMENTATION</t>
  </si>
  <si>
    <t>CONSULTING-STRATEGY &amp; SOLUTIONS I2C</t>
  </si>
  <si>
    <t>COCODY PALM CLUB</t>
  </si>
  <si>
    <t xml:space="preserve">04 BP 2163 ABJ </t>
  </si>
  <si>
    <t>CI-ABJ-03-2022-B12-02731</t>
  </si>
  <si>
    <t>2242010H</t>
  </si>
  <si>
    <t>tmichael@c2s-groupe.com</t>
  </si>
  <si>
    <t>DCK-261</t>
  </si>
  <si>
    <t>DCK-CGA2024-A056</t>
  </si>
  <si>
    <t>CONSEIL EN STRATEGIES ET SOLUTION</t>
  </si>
  <si>
    <t>VK SERVICES</t>
  </si>
  <si>
    <t>ANGRE DJIBI</t>
  </si>
  <si>
    <t>CI-ABJ-03-2022-B13-06200</t>
  </si>
  <si>
    <t>ferreol52@.com</t>
  </si>
  <si>
    <t>DCK-262</t>
  </si>
  <si>
    <t>DCK-CGA2024-A055</t>
  </si>
  <si>
    <t>COMMERCE</t>
  </si>
  <si>
    <t>CCEI001</t>
  </si>
  <si>
    <t>01 BP 845 ABJ 0</t>
  </si>
  <si>
    <t>CI-GRDBS5M-2020-B-4250</t>
  </si>
  <si>
    <t>DCK-263</t>
  </si>
  <si>
    <t>DCK-CGA2024-A054</t>
  </si>
  <si>
    <t>MOBILE MONEY</t>
  </si>
  <si>
    <t>KW</t>
  </si>
  <si>
    <t>SCE0509</t>
  </si>
  <si>
    <t>DAO MABONA</t>
  </si>
  <si>
    <t>BINGERVILLE CITE FDFP</t>
  </si>
  <si>
    <t>CI-ABJ-03-2022-A10-03347</t>
  </si>
  <si>
    <t>DCK-264</t>
  </si>
  <si>
    <t>DCK-CGA2024-A057</t>
  </si>
  <si>
    <t>COMMERCE DE MOBOLIER ET DE MATERIEL DE BUREAU</t>
  </si>
  <si>
    <t>BINGERVILLE GBAGBA</t>
  </si>
  <si>
    <t>CI-ABJ-03-2022-A10-01730</t>
  </si>
  <si>
    <t>DCK-265</t>
  </si>
  <si>
    <t>DCK-CGA2024-A058</t>
  </si>
  <si>
    <t xml:space="preserve">MECANIQUE </t>
  </si>
  <si>
    <t>SCE1702</t>
  </si>
  <si>
    <t>CI-ABJ-03-2023-A10-01534</t>
  </si>
  <si>
    <t>2002164F</t>
  </si>
  <si>
    <t>DCK-266</t>
  </si>
  <si>
    <t>DCK-CGA2024-A075</t>
  </si>
  <si>
    <t>VENTES DE CARREAUX</t>
  </si>
  <si>
    <t>BINGERVILLE AKWE DJEMIN FACE A L'EGLISE METHODISTE</t>
  </si>
  <si>
    <t>01 BP 1246 ABID</t>
  </si>
  <si>
    <t>OESG SARL</t>
  </si>
  <si>
    <t>CI-ABJ-03-2022-B12-04022</t>
  </si>
  <si>
    <t>DCK-267</t>
  </si>
  <si>
    <t>DCK-CGA2024-A061</t>
  </si>
  <si>
    <t xml:space="preserve">MINE </t>
  </si>
  <si>
    <t>IND0201</t>
  </si>
  <si>
    <t>ANDREA SERVICE SARL</t>
  </si>
  <si>
    <t>BINGERVILLE ABBATA CITE IMPOTS</t>
  </si>
  <si>
    <t>01 BP 5262 ABID</t>
  </si>
  <si>
    <t>CI-ABJ-2018-B-23859</t>
  </si>
  <si>
    <t>DCK-CGA2024-A060</t>
  </si>
  <si>
    <t>SERVICE EVENEMENTIEL, VENTE</t>
  </si>
  <si>
    <t>COCODY AKOUEDO, LAURIER 15</t>
  </si>
  <si>
    <t>01 BP 1225 ABID</t>
  </si>
  <si>
    <t>CI-ABJ-03-2023-B12-05066</t>
  </si>
  <si>
    <t>Gigconsulting01@gmail.com</t>
  </si>
  <si>
    <t>DCK-269</t>
  </si>
  <si>
    <t>DCK-CGA2024-A062</t>
  </si>
  <si>
    <t>TRANSPORT</t>
  </si>
  <si>
    <t>SCE0306</t>
  </si>
  <si>
    <t xml:space="preserve">EXPLOITANT INDIVIDUEL </t>
  </si>
  <si>
    <t>BP 7641 ABJ 01</t>
  </si>
  <si>
    <t>ETS BPS</t>
  </si>
  <si>
    <t>CI-ABJ-2013-R-188</t>
  </si>
  <si>
    <t>DCK-CGA2021-Q174</t>
  </si>
  <si>
    <t xml:space="preserve">PRESTATIONS DE SERVICES ET TRAVAUX BATIMENTS </t>
  </si>
  <si>
    <t>PR</t>
  </si>
  <si>
    <t>APT 66</t>
  </si>
  <si>
    <t>Williamsvile</t>
  </si>
  <si>
    <t>BTP0206</t>
  </si>
  <si>
    <t>COCODY RIVERA 3</t>
  </si>
  <si>
    <t xml:space="preserve">EXPLOITANTE INDIVIDUELLE </t>
  </si>
  <si>
    <t>CI-ABJ-2018-B-31734</t>
  </si>
  <si>
    <t>1864699A</t>
  </si>
  <si>
    <t>DCK-272</t>
  </si>
  <si>
    <t>DCK-CGA-2020-A089</t>
  </si>
  <si>
    <t xml:space="preserve">SERVICE TRAITEUR </t>
  </si>
  <si>
    <t>AT</t>
  </si>
  <si>
    <t>INTERNATIONAL FORMATION CÃ”TE D'IVOIRE</t>
  </si>
  <si>
    <t>01 BP 10683 ABI</t>
  </si>
  <si>
    <t>INTERFORM-CI</t>
  </si>
  <si>
    <t>CI-ABJ-06-R293/1998-B-232982</t>
  </si>
  <si>
    <t>DCK-273</t>
  </si>
  <si>
    <t>DCK-CGA2021-Q146</t>
  </si>
  <si>
    <t>FORMATION ( SEMINAIRE)</t>
  </si>
  <si>
    <t>CK</t>
  </si>
  <si>
    <t>AFRICAN CONSULTANTS</t>
  </si>
  <si>
    <t>ANGRE OSCARS</t>
  </si>
  <si>
    <t>23 BP 1834 ABJ 23</t>
  </si>
  <si>
    <t>CI-ABJ-2017-B-5154</t>
  </si>
  <si>
    <t>DCK-274</t>
  </si>
  <si>
    <t>DCK-CGA2024-A063</t>
  </si>
  <si>
    <t>FAIRE LA COLLECTION DES DONNEES</t>
  </si>
  <si>
    <t>COULIBALY TIOSSON SAINDOU</t>
  </si>
  <si>
    <t>BINGERVILLE MITTERAND</t>
  </si>
  <si>
    <t>CI-ABJ-2018-A-04801</t>
  </si>
  <si>
    <t>DCK-275</t>
  </si>
  <si>
    <t>INFORMATIQUE, COMMUNICATION, COMMERCE GENERAL, BTP, DIVERS</t>
  </si>
  <si>
    <t>GG ENTREPRISE</t>
  </si>
  <si>
    <t>ANGRE 7Ã¨me TRANCHE</t>
  </si>
  <si>
    <t>CI-ABJ-2018-M-21129</t>
  </si>
  <si>
    <t>1508582Z</t>
  </si>
  <si>
    <t>DCK-276</t>
  </si>
  <si>
    <t>DCK-CGA2024-A076</t>
  </si>
  <si>
    <t>CONSTRUCTION,BTP,TRAVAUX</t>
  </si>
  <si>
    <t>IND2402</t>
  </si>
  <si>
    <t>COCODY 2 PLATEAUX DERRIERE SOCOCE  ILOT 125  LOT 1224</t>
  </si>
  <si>
    <t>08 BP 457 ABIDJAN 08</t>
  </si>
  <si>
    <t>KGEC INTERNATIONAL</t>
  </si>
  <si>
    <t>CI-ABJ-03-2022-B12-04815</t>
  </si>
  <si>
    <t>gerard.kgecinter@gmail.com</t>
  </si>
  <si>
    <t>DCK-277</t>
  </si>
  <si>
    <t>DCK-CGA2024-A070</t>
  </si>
  <si>
    <t>ABIDJAN COCODY 7e TRANCHE RUE L129 LOT 3660 ILOT 298</t>
  </si>
  <si>
    <t>01 BP 12700 ABIDJAN 01</t>
  </si>
  <si>
    <t>G2S</t>
  </si>
  <si>
    <t>CI-ABJ-03-2023-B12-04411</t>
  </si>
  <si>
    <t>samtiem13@gmail.com</t>
  </si>
  <si>
    <t>DCK-278</t>
  </si>
  <si>
    <t>DCK-CGA2024-A071</t>
  </si>
  <si>
    <t>COMMERCE GENERAL, VENTE DE MARCHANDISES DIVERSES</t>
  </si>
  <si>
    <t>CCEI502</t>
  </si>
  <si>
    <t>01 BP 2744 ABIDJAN 01</t>
  </si>
  <si>
    <t>ABTECH</t>
  </si>
  <si>
    <t>CI-ABJ-2012-B-10629</t>
  </si>
  <si>
    <t xml:space="preserve">info@abtch-ci.com </t>
  </si>
  <si>
    <t>DCK-CGA2024-A001</t>
  </si>
  <si>
    <t>INGENIERIE INFORMATIQUE</t>
  </si>
  <si>
    <t>B2</t>
  </si>
  <si>
    <t>IMAGE REPUTATION ET INFLUENCE</t>
  </si>
  <si>
    <t>ABIDJAN COCODY 2 PLATEAUX VALLON</t>
  </si>
  <si>
    <t>04 BP 1434 ABJ 04</t>
  </si>
  <si>
    <t>IRI</t>
  </si>
  <si>
    <t>CI-ABJ-2018-B-01532</t>
  </si>
  <si>
    <t>1802876W</t>
  </si>
  <si>
    <t>DCK-279</t>
  </si>
  <si>
    <t>DCK-CGA2024-A053</t>
  </si>
  <si>
    <t>MARKETING ET COMMUNICATION POLITIQUE</t>
  </si>
  <si>
    <t>SCE1201</t>
  </si>
  <si>
    <t>ABIDJAN COCODY ATTOBAN</t>
  </si>
  <si>
    <t>06 BP 2856 ABIDJAN 06</t>
  </si>
  <si>
    <t>CI-ABJ-2016-B-00665</t>
  </si>
  <si>
    <t>DCK-281</t>
  </si>
  <si>
    <t>DCK-CGA2024-A059</t>
  </si>
  <si>
    <t>ETUDES ET CONSEILS EN INFORMATIQUE</t>
  </si>
  <si>
    <t>PW</t>
  </si>
  <si>
    <t>SOCIETE DE PRODUCTION ET DE DISTRIBUTION</t>
  </si>
  <si>
    <t>ABIDJAN COCODY ANGRE STAR 6</t>
  </si>
  <si>
    <t>16 BP 55 ABIDJAN 14</t>
  </si>
  <si>
    <t>SPD</t>
  </si>
  <si>
    <t>CI-ABI-2014-B-8078</t>
  </si>
  <si>
    <t>juspaly@gmail.com</t>
  </si>
  <si>
    <t>DCK-CGA2024-A002</t>
  </si>
  <si>
    <t>PRODUCTION ET DISTRIBUTION DE JUS DE FRUITS</t>
  </si>
  <si>
    <t>DO</t>
  </si>
  <si>
    <t>HOLLAND Nâ€™DA SEBASTIEN (ROSE HERMINE)</t>
  </si>
  <si>
    <t>CI-ABJ-2008-A-4717</t>
  </si>
  <si>
    <t>DCK-283</t>
  </si>
  <si>
    <t>DCK-CGA2024-A003</t>
  </si>
  <si>
    <t>LOCATION DE RESIDENCE MEUBLE, SALLE DE REUNION</t>
  </si>
  <si>
    <t>KONAN KOUADIO CHRISTIAN (KOMODE CRISTAL)</t>
  </si>
  <si>
    <t>COCODY ANGRE</t>
  </si>
  <si>
    <t>CI-ABJ-2008-B-629</t>
  </si>
  <si>
    <t>DCK-284</t>
  </si>
  <si>
    <t>DCK-CGA2024-A004</t>
  </si>
  <si>
    <t>FOURNITURE DE BUREAU, OBJET PUBLICITAIRE</t>
  </si>
  <si>
    <t>GROUPE SCOLAIRE LA REGLE D'ORIBAT</t>
  </si>
  <si>
    <t>06 BP 6845 ABJ 06</t>
  </si>
  <si>
    <t>CI-ABJ-2013-B-1651</t>
  </si>
  <si>
    <t>DCK-285</t>
  </si>
  <si>
    <t>DCK-CGA2024-A077</t>
  </si>
  <si>
    <t>IL</t>
  </si>
  <si>
    <t>COCODY-VALLON</t>
  </si>
  <si>
    <t>21 BP 3216 ABJ 21</t>
  </si>
  <si>
    <t>CI-ABJ-2020-B-07252</t>
  </si>
  <si>
    <t>MT</t>
  </si>
  <si>
    <t>COCODY RIVIERA PETIT BOUAKE</t>
  </si>
  <si>
    <t>08 BP 3953 ABJ 08</t>
  </si>
  <si>
    <t>CI-ABJ-2020-B-09573</t>
  </si>
  <si>
    <t>fullservicevent@gmail.com</t>
  </si>
  <si>
    <t>DCK-CGA2024-A105</t>
  </si>
  <si>
    <t>PUBLICITE,PROMOTION DE PRODUITS,EVENEMENTIEL,SONORISATION</t>
  </si>
  <si>
    <t>COCODY IIPLATEAUX AGBAN</t>
  </si>
  <si>
    <t>13 BP 150 ABJ 13</t>
  </si>
  <si>
    <t>CI-ABJ-2016-B-22888</t>
  </si>
  <si>
    <t>DCK-CGA2024-A104</t>
  </si>
  <si>
    <t>MECANIQUE GENERAL,ELECTRICITE</t>
  </si>
  <si>
    <t>LZ</t>
  </si>
  <si>
    <t>COCODY RIVIERA FAYA</t>
  </si>
  <si>
    <t>BPM 252 CIDEX 01</t>
  </si>
  <si>
    <t>CI-ABJ-03-2023-B12-01206</t>
  </si>
  <si>
    <t>LA FORMATION, COACHINGEXECUTIF</t>
  </si>
  <si>
    <t>HR</t>
  </si>
  <si>
    <t>ABIDJAN COCODY RIVIERA PALMERAIE RUE MINISTRE</t>
  </si>
  <si>
    <t>01 BP 7255 ABIDJAN 01</t>
  </si>
  <si>
    <t>CI-ABJ-03-2021-B12-00567</t>
  </si>
  <si>
    <t>VX</t>
  </si>
  <si>
    <t>SCE0106</t>
  </si>
  <si>
    <t>ENTREPRISE DEMBELE FOUSSENI</t>
  </si>
  <si>
    <t>CI-ABJ-2013-A-6511</t>
  </si>
  <si>
    <t>1330127Y</t>
  </si>
  <si>
    <t>PLOMBERIE ET ELCETRICITE</t>
  </si>
  <si>
    <t>BTP0203</t>
  </si>
  <si>
    <t>ABE AHOUA SOPIE BERNADETTE</t>
  </si>
  <si>
    <t>COCODY 7iÃ¨me tranche</t>
  </si>
  <si>
    <t>06 BP 6308 ABJ 06</t>
  </si>
  <si>
    <t>CI-ABJ-04-A-4528</t>
  </si>
  <si>
    <t>DCK-CGA2024-A099</t>
  </si>
  <si>
    <t>LIVRAISONS DE MARCHANDISES DIVERSES</t>
  </si>
  <si>
    <t>NOKOMA GROUP SARL</t>
  </si>
  <si>
    <t>COCODY ANGRE DJOROGOBITE 2</t>
  </si>
  <si>
    <t>11 BP 2476 ABJ 11</t>
  </si>
  <si>
    <t>CI-ABJ-03-2023-B12-05456</t>
  </si>
  <si>
    <t>COMMUNICATION,IMPRIMERIE</t>
  </si>
  <si>
    <t>MG</t>
  </si>
  <si>
    <t>CI-ABJ-2015-B-13601</t>
  </si>
  <si>
    <t>1528544V</t>
  </si>
  <si>
    <t>infomedygroup23@gmail.com</t>
  </si>
  <si>
    <t>DCK-294</t>
  </si>
  <si>
    <t>DCK-CGA2024-A086</t>
  </si>
  <si>
    <t xml:space="preserve">LA CONSTRUCTION DE BATIMENTS EN TOUT GENRE, NOTAMENT A USAGE D'HABITATION,COMMERCIAL </t>
  </si>
  <si>
    <t>A0 522</t>
  </si>
  <si>
    <t>08 BP 05 ABJ 08</t>
  </si>
  <si>
    <t>CI-ABJ-2017-B-25702</t>
  </si>
  <si>
    <t>lohdamas@yahoo.fr</t>
  </si>
  <si>
    <t>DCK-CGA2024-A096</t>
  </si>
  <si>
    <t>FINANCE,CONSEIL EN FINANCE,CONSEIL INVESTISSEMENT</t>
  </si>
  <si>
    <t>COCODY RIVIERA AKOUEDO EXT</t>
  </si>
  <si>
    <t>20 BP 963 ABJ 20</t>
  </si>
  <si>
    <t>CI-ABJ-032022-A10-04009</t>
  </si>
  <si>
    <t>SERVICES ET LOCATION,VENTE ENGINS,COMMERCE</t>
  </si>
  <si>
    <t>DCK-298</t>
  </si>
  <si>
    <t>DCK-CGA2024-A089</t>
  </si>
  <si>
    <t xml:space="preserve">BILLETTERIE </t>
  </si>
  <si>
    <t>KX</t>
  </si>
  <si>
    <t>STOP AUTO ECOLE</t>
  </si>
  <si>
    <t>COCODY BOULEVARD DE FRANCE</t>
  </si>
  <si>
    <t>11 BP 172 ABIDJAN</t>
  </si>
  <si>
    <t>CI-ABJ-1981-A-56734</t>
  </si>
  <si>
    <t>stopautoecolecocody@gmail.com</t>
  </si>
  <si>
    <t>BZ</t>
  </si>
  <si>
    <t>CI-ABJ-03-2024-B12-01309</t>
  </si>
  <si>
    <t>ck.ak@ckaremenbon.com</t>
  </si>
  <si>
    <t>DCK-300</t>
  </si>
  <si>
    <t>DCK-CGA2024-A091</t>
  </si>
  <si>
    <t>Restauration,Cuisine,Traiteur et Gastronomie</t>
  </si>
  <si>
    <t>CI-ABJ-03-2024-B13-04981</t>
  </si>
  <si>
    <t>comdauphin6@gmail.com</t>
  </si>
  <si>
    <t>DCK-CGA2024-A092</t>
  </si>
  <si>
    <t>Achat et vente de matÃ©riels informatique, Formation encadrement.</t>
  </si>
  <si>
    <t>CI-ABJ-03-2024-B13-05463</t>
  </si>
  <si>
    <t>DCK-302</t>
  </si>
  <si>
    <t>DCK-CGA2024-A093</t>
  </si>
  <si>
    <t xml:space="preserve">TRAVAUX TELECOM </t>
  </si>
  <si>
    <t>MESSOU AGBANI DANIEL</t>
  </si>
  <si>
    <t>COCODY 7eme TRANCHE</t>
  </si>
  <si>
    <t>MAD Entreprise</t>
  </si>
  <si>
    <t>CI-ABJ-03-2023-A10-03975</t>
  </si>
  <si>
    <t>DCK-303</t>
  </si>
  <si>
    <t>DCK-CGA2024-A094</t>
  </si>
  <si>
    <t>Gestion immobiliÃ¨re, Achat et vente</t>
  </si>
  <si>
    <t>PT</t>
  </si>
  <si>
    <t>BTP0201</t>
  </si>
  <si>
    <t>COCODY ANGRE STAR 9 B</t>
  </si>
  <si>
    <t>09 BP 1151 Abidjan 09</t>
  </si>
  <si>
    <t>CI-ABJ-M-12532</t>
  </si>
  <si>
    <t>mandiobas@gmail.com</t>
  </si>
  <si>
    <t>DCK-304</t>
  </si>
  <si>
    <t>DCK-CGA2024-A095</t>
  </si>
  <si>
    <t>Commerce, Prestation de service</t>
  </si>
  <si>
    <t>DP</t>
  </si>
  <si>
    <t>SCE1701</t>
  </si>
  <si>
    <t>N° Adhésion</t>
  </si>
  <si>
    <t>Adresse</t>
  </si>
  <si>
    <t>Dirigeant</t>
  </si>
  <si>
    <t>Regime</t>
  </si>
  <si>
    <t>Forme juridique</t>
  </si>
  <si>
    <t>N°RCCM</t>
  </si>
  <si>
    <t>Centre d'impôts</t>
  </si>
  <si>
    <t>DC-KNOWING</t>
  </si>
  <si>
    <t>APPORTEUR KOFFI ALBERT</t>
  </si>
  <si>
    <t>APPORTEUR KONGOZA HARMEL</t>
  </si>
  <si>
    <t>APPORTEUR GOHI</t>
  </si>
  <si>
    <t>APPORTEUR CABINET CFA</t>
  </si>
  <si>
    <t>APPORTEUR KODJO JC</t>
  </si>
  <si>
    <t>APPORTEUR ZADI</t>
  </si>
  <si>
    <t>APPORTEUR PAUL</t>
  </si>
  <si>
    <t>APPORTEUR SAEFI</t>
  </si>
  <si>
    <t>APPORTEUR KONAN GÃ‰RARD</t>
  </si>
  <si>
    <t>KARMEL'S SARL UNIPERSONNELLE</t>
  </si>
  <si>
    <t>userid</t>
  </si>
  <si>
    <t>company</t>
  </si>
  <si>
    <t>vat</t>
  </si>
  <si>
    <t>identification</t>
  </si>
  <si>
    <t>fonction</t>
  </si>
  <si>
    <t>emailetprse</t>
  </si>
  <si>
    <t>phonenumber</t>
  </si>
  <si>
    <t>country</t>
  </si>
  <si>
    <t>zip</t>
  </si>
  <si>
    <t>datecreated</t>
  </si>
  <si>
    <t>active</t>
  </si>
  <si>
    <t>leadid</t>
  </si>
  <si>
    <t>billing_street</t>
  </si>
  <si>
    <t>billing_city</t>
  </si>
  <si>
    <t>billing_state</t>
  </si>
  <si>
    <t>billing_zip</t>
  </si>
  <si>
    <t>billing_country</t>
  </si>
  <si>
    <t>shipping_street</t>
  </si>
  <si>
    <t>shipping_city</t>
  </si>
  <si>
    <t>shipping_state</t>
  </si>
  <si>
    <t>shipping_zip</t>
  </si>
  <si>
    <t>shipping_country</t>
  </si>
  <si>
    <t>longitude</t>
  </si>
  <si>
    <t>latitude</t>
  </si>
  <si>
    <t>default_language</t>
  </si>
  <si>
    <t>default_currency</t>
  </si>
  <si>
    <t>show_primary_contact</t>
  </si>
  <si>
    <t>stripe_id</t>
  </si>
  <si>
    <t>registration_confirmed</t>
  </si>
  <si>
    <t>addedfrom</t>
  </si>
  <si>
    <t>Exploitante individuelle</t>
  </si>
  <si>
    <t>Exploitant individuel</t>
  </si>
  <si>
    <t>KIMOU ERIC</t>
  </si>
  <si>
    <t xml:space="preserve">YIRA SIAKA </t>
  </si>
  <si>
    <t>Exploitant Individuel</t>
  </si>
  <si>
    <t>KOUADIO AHOU MICHAELLE</t>
  </si>
  <si>
    <t>GÃ©rante</t>
  </si>
  <si>
    <t>Fournitures de bureaux, Restauration, BÃ¢timent</t>
  </si>
  <si>
    <t>YOA N'GUESSAN ADELE EPSE DJEDJE</t>
  </si>
  <si>
    <t>Exploitante Individuelle</t>
  </si>
  <si>
    <t>POHAN KEMOANFOUOGON AUGUTE</t>
  </si>
  <si>
    <t>SCPA TAKORE, KONAN &amp; ASSOCIES</t>
  </si>
  <si>
    <t>SOCIÃ‰TÃ‰ CIVILE</t>
  </si>
  <si>
    <t>DANHI HENRY DELPHIN</t>
  </si>
  <si>
    <t>Co-gÃ©rant</t>
  </si>
  <si>
    <t>COCODY-ANGRÃ‰-CITÃ‰ BEL HORIZON</t>
  </si>
  <si>
    <t xml:space="preserve">Mme SANFO </t>
  </si>
  <si>
    <t>GOSSE ANGE SAINT CLAIR</t>
  </si>
  <si>
    <t>GÃ©rant</t>
  </si>
  <si>
    <t>BARRY FACINET</t>
  </si>
  <si>
    <t>FONTAINE JULIEN</t>
  </si>
  <si>
    <t>DJOGBENOU JEAN NOEL</t>
  </si>
  <si>
    <t xml:space="preserve">DJOGBENOU </t>
  </si>
  <si>
    <t>0000-00-00</t>
  </si>
  <si>
    <t>DOUMBIA MASSANKE</t>
  </si>
  <si>
    <t>ASSANVO DJEDJOU FRANCK</t>
  </si>
  <si>
    <t>COCODY ANGRÃ‰</t>
  </si>
  <si>
    <t xml:space="preserve">ENTREPRISE INTERNATIONALE DE PRESTATIONS </t>
  </si>
  <si>
    <t>COCODY 9ÃˆME TRANCHE</t>
  </si>
  <si>
    <t>AMICHIA AMOIN MARIE CLAIRE</t>
  </si>
  <si>
    <t>ANGRE ANCIEN MARCHÃ‰</t>
  </si>
  <si>
    <t xml:space="preserve"> AMAHO WALIOU</t>
  </si>
  <si>
    <t>DCK-183</t>
  </si>
  <si>
    <t>DCK-184</t>
  </si>
  <si>
    <t>II Plateau I</t>
  </si>
  <si>
    <t>DCK-185</t>
  </si>
  <si>
    <t>DCK-186</t>
  </si>
  <si>
    <t>DCK-188</t>
  </si>
  <si>
    <t>DCK-CGA2022-J067</t>
  </si>
  <si>
    <t xml:space="preserve">COCODY RIVIERA PLAMERAIE </t>
  </si>
  <si>
    <t>DCK-189</t>
  </si>
  <si>
    <t>DCK-CGA2024-A005</t>
  </si>
  <si>
    <t xml:space="preserve">Enseignement gÃ©nÃ©ral </t>
  </si>
  <si>
    <t>Manou Epouse Messe Legga Elisabeth</t>
  </si>
  <si>
    <t>PrÃ©sident(e)</t>
  </si>
  <si>
    <t>DCK-190</t>
  </si>
  <si>
    <t>DCK-CGA2024-A006</t>
  </si>
  <si>
    <t xml:space="preserve">CEC </t>
  </si>
  <si>
    <t>TRAORE FATOUMATA EPSE DIABATE</t>
  </si>
  <si>
    <t>ANGRE 7Ã¨me tranche</t>
  </si>
  <si>
    <t>KomÃ© K. Agbedjidor</t>
  </si>
  <si>
    <t>DCK-192</t>
  </si>
  <si>
    <t>DCK-CGA2024-A008</t>
  </si>
  <si>
    <t>TALEB ABEIDI MOHAMED YESLEM</t>
  </si>
  <si>
    <t>Cocody 8Ã¨me TRANCHE</t>
  </si>
  <si>
    <t>DAO Nâ€™GOLO KASSOUM</t>
  </si>
  <si>
    <t xml:space="preserve">EL' SOLUTION </t>
  </si>
  <si>
    <t xml:space="preserve">OUATTARA YELIE ABNAN FATOU </t>
  </si>
  <si>
    <t xml:space="preserve">KONE KARIDIATA </t>
  </si>
  <si>
    <t xml:space="preserve">MEDIATEL MULTIMEDIA </t>
  </si>
  <si>
    <t xml:space="preserve">ADJOBI DIANA ANNE ELIANE </t>
  </si>
  <si>
    <t>DCK-198</t>
  </si>
  <si>
    <t>DCK-CGA2024-A013</t>
  </si>
  <si>
    <t xml:space="preserve">INFORMATIQUE, PRODUCTION AUDIOVISUELLE </t>
  </si>
  <si>
    <t xml:space="preserve">CENTRE D'ANATOMIE PATHOLOGIQUE PRIVE D'ABIDJAN </t>
  </si>
  <si>
    <t xml:space="preserve">HONDE MICHEL </t>
  </si>
  <si>
    <t>DCK-199</t>
  </si>
  <si>
    <t>DCK-CGA2024-A014</t>
  </si>
  <si>
    <t xml:space="preserve">SANTE </t>
  </si>
  <si>
    <t>KONE BRAHIMA</t>
  </si>
  <si>
    <t xml:space="preserve">JCL CORPORATE </t>
  </si>
  <si>
    <t xml:space="preserve">LAN KWALY JEAN CAMILLE </t>
  </si>
  <si>
    <t>DCK-201</t>
  </si>
  <si>
    <t>DCK-CGA2024-A015</t>
  </si>
  <si>
    <t xml:space="preserve">IMPRIMERIE, MEDIA, COMMUNICATION, SERVICES INFORMATIQUES, TELE COMMUNICATION, LOCATION </t>
  </si>
  <si>
    <t>O X</t>
  </si>
  <si>
    <t xml:space="preserve">EL VAGHE  MARKET </t>
  </si>
  <si>
    <t xml:space="preserve">EL VAGHE HEID </t>
  </si>
  <si>
    <t>ZARROUK MEHDI</t>
  </si>
  <si>
    <t xml:space="preserve">KAF BEAUTE ET AFFAIRES </t>
  </si>
  <si>
    <t xml:space="preserve">ATCHADE KAFIL CEDRIC </t>
  </si>
  <si>
    <t xml:space="preserve">TRAN TRONG HOANG </t>
  </si>
  <si>
    <t xml:space="preserve">IT - SERVICES CONSULTING </t>
  </si>
  <si>
    <t>DCK-209</t>
  </si>
  <si>
    <t>DCK-CGA2024-A024</t>
  </si>
  <si>
    <t xml:space="preserve">LA SECURITE INFORMATIQUE , RESEAUX TELECOM </t>
  </si>
  <si>
    <t>KONE TENAN ISSA</t>
  </si>
  <si>
    <t>EKUE ADADE</t>
  </si>
  <si>
    <t>OH NAMHO</t>
  </si>
  <si>
    <t>WANG JINGZHONG</t>
  </si>
  <si>
    <t>TRAVAUX D'INSTALLATION (Ã©lectricitÃ©, Plomberie)</t>
  </si>
  <si>
    <t>HOLLAND N'DA SEBASTIEN</t>
  </si>
  <si>
    <t>COCODY 2 PLATEAUX 7Ã¨me TRANCHE</t>
  </si>
  <si>
    <t>DJAHO SERAPHIN</t>
  </si>
  <si>
    <t>ANGRE STAR 8Ã¨me</t>
  </si>
  <si>
    <t>HERVIE CHRISTIAN JEORGES JEAN MARIE</t>
  </si>
  <si>
    <t>WANG MEN</t>
  </si>
  <si>
    <t>KONE TIENE NICOLE</t>
  </si>
  <si>
    <t>AKOUASSA EPSE KONAN ORNELLA EVE</t>
  </si>
  <si>
    <t xml:space="preserve">COULIBALY SOUMAILA </t>
  </si>
  <si>
    <t>ANOH EBA MARIE</t>
  </si>
  <si>
    <t>BOSSOU ARIELLE</t>
  </si>
  <si>
    <t>AGNERO DEMEL JOSEPH IVERSON (DOG CLUB)</t>
  </si>
  <si>
    <t>PropriÃ©taire</t>
  </si>
  <si>
    <t>01 40 06 22 58</t>
  </si>
  <si>
    <t>Bingerville - Paris Village AprÃ¨s l'HÃ´tel Free World</t>
  </si>
  <si>
    <t>AMANI YAKAN ANNICK-SYLVIE</t>
  </si>
  <si>
    <t>CHETIMA  MOUSTAPHA</t>
  </si>
  <si>
    <t>ZHOU HAIWEN</t>
  </si>
  <si>
    <t>WODJE ELISABETH</t>
  </si>
  <si>
    <t>DIDI KOUKO GUEDE FRANCK</t>
  </si>
  <si>
    <t>DCK-236</t>
  </si>
  <si>
    <t>DCK-CGA2022-J073</t>
  </si>
  <si>
    <t>07 08 14 52 20</t>
  </si>
  <si>
    <t>LI XIAOMING</t>
  </si>
  <si>
    <t>VENTE Dâ€™ACCESSOIRES DE MATERIELS TELEPHONIQUE</t>
  </si>
  <si>
    <t>1Â 000 000</t>
  </si>
  <si>
    <t>01 01 10 16 65</t>
  </si>
  <si>
    <t>PIERRE MARIE-CECILE BERENICE DIANA EPSE GRANT-YOBOU</t>
  </si>
  <si>
    <t>Restauration ambulante, Import-Export, Communication, RÃ©alisation audiovisuelle</t>
  </si>
  <si>
    <t>EKUE EPSE OUATTARA KANLE</t>
  </si>
  <si>
    <t>HONDE JEAN-MICHEL</t>
  </si>
  <si>
    <t xml:space="preserve">CENTRE DE SANTE DU PEUPLE </t>
  </si>
  <si>
    <t>LIU YUGANG</t>
  </si>
  <si>
    <t>SENOU SOGLO YAO</t>
  </si>
  <si>
    <t>KOUAKOU SIMPLICE</t>
  </si>
  <si>
    <t xml:space="preserve">PHARMA 7 </t>
  </si>
  <si>
    <t>TAI MARC JULES</t>
  </si>
  <si>
    <t>ReprÃ©sentation et promotion de produits pharmaceutiques</t>
  </si>
  <si>
    <t>07 07 37 45 74</t>
  </si>
  <si>
    <t>ASSOUHOUN KASSIBA BENGOULOMAN</t>
  </si>
  <si>
    <t>07 08 45 89 84</t>
  </si>
  <si>
    <t>KOUADIO POKOU MARIUS</t>
  </si>
  <si>
    <t>N'GUESSAN KORA ESTELLE</t>
  </si>
  <si>
    <t>CO-GÃ©rante</t>
  </si>
  <si>
    <t>DÃ©coration d'intÃ©rieur, la confection de meuble sur mÃ©sure</t>
  </si>
  <si>
    <t>VONAN AMANGOUA GERVAIS</t>
  </si>
  <si>
    <t>DCK-250</t>
  </si>
  <si>
    <t>DCK-CGA2023-J039</t>
  </si>
  <si>
    <t>COFFI LYNN BRINDA</t>
  </si>
  <si>
    <t>DCK-251</t>
  </si>
  <si>
    <t>DCK-CGA2023-J038</t>
  </si>
  <si>
    <t>N'DRI KACOU EGHINARD FERREOL</t>
  </si>
  <si>
    <t>KOMENAN HUGUESBET N'DOUFFOU LOUIS</t>
  </si>
  <si>
    <t>NIANKI N'GUESSAN THIERRY</t>
  </si>
  <si>
    <t>ANGRE 8Ã¨me TRANCHE</t>
  </si>
  <si>
    <t xml:space="preserve">EFFIDIS RELOOKING </t>
  </si>
  <si>
    <t xml:space="preserve">TRAZIE GOZIE </t>
  </si>
  <si>
    <t>COCODY II PLATEAUX 7Ã¨me TRANCHE</t>
  </si>
  <si>
    <t>ZOGBO YVETTE</t>
  </si>
  <si>
    <t>ZOGBO PHA EPSE ASSOUMOU</t>
  </si>
  <si>
    <t>AIME MOH PAUL ARTHUR</t>
  </si>
  <si>
    <t>COULIBALY ISMAEL</t>
  </si>
  <si>
    <t>YOUZAN AYA ROSINE-LEA Epse N'GUESSAN</t>
  </si>
  <si>
    <t xml:space="preserve">GÃ©rante </t>
  </si>
  <si>
    <t>TAKRE ABALE ANGE MICHAEL</t>
  </si>
  <si>
    <t>AHISSAN KOUADIO VENANCE</t>
  </si>
  <si>
    <t xml:space="preserve">TEHIA KOUASSI EDNA </t>
  </si>
  <si>
    <t xml:space="preserve">OILFIELD ENGENEERING AND SERVICES GROUP SARL </t>
  </si>
  <si>
    <t xml:space="preserve">YAPO JEAN-MARIUS </t>
  </si>
  <si>
    <t>BONY BROU PRISCA</t>
  </si>
  <si>
    <t>BINGERVILLE ABBATA CITE IMPÃ”TS</t>
  </si>
  <si>
    <t>M. KOFFI N'ZI BILE MARIUS</t>
  </si>
  <si>
    <t>0708889604 /0707038895</t>
  </si>
  <si>
    <t xml:space="preserve">BAKAYOKO LOSSENI </t>
  </si>
  <si>
    <t xml:space="preserve">BONGOUA EBRINWA ELISABETH </t>
  </si>
  <si>
    <t>59 65 83 65</t>
  </si>
  <si>
    <t>YAO ADJOUA CLEMENTINE EPSE KASSI</t>
  </si>
  <si>
    <t>KOUAME JEAN MARTIAL</t>
  </si>
  <si>
    <t>KONE SINA</t>
  </si>
  <si>
    <t>KONAN GERARD</t>
  </si>
  <si>
    <t>CONSEIL EN CREATION ET GESTION Dâ€™ENTREPRISE</t>
  </si>
  <si>
    <t>01 53 43 44 75</t>
  </si>
  <si>
    <t>COCODY 2 PLATEAUX DERRIERE SOCOCE  ILOT 125, LOT 1224</t>
  </si>
  <si>
    <t>KOUASSI LOU TIENAN BELI AUDE MARIETTE</t>
  </si>
  <si>
    <t xml:space="preserve">ReprÃ©sentant lÃ©gal </t>
  </si>
  <si>
    <t>5Â 000 000</t>
  </si>
  <si>
    <t>07 48 78 10 10</t>
  </si>
  <si>
    <t xml:space="preserve">Abidjan </t>
  </si>
  <si>
    <t>FALILU ABUDUL KADIRI</t>
  </si>
  <si>
    <t>01 02 92 02 02</t>
  </si>
  <si>
    <t>KASSI RAPHAEL ELISEE DJANE</t>
  </si>
  <si>
    <t>ReprÃ©sentant lÃ©gal</t>
  </si>
  <si>
    <t>07 09 63 60 53</t>
  </si>
  <si>
    <t>TONYI AMEGADJIN</t>
  </si>
  <si>
    <t>1.000.000</t>
  </si>
  <si>
    <t>05 45 83 24 70 / 07 48 71 99 0</t>
  </si>
  <si>
    <t>OSNOU YOBOUET EDJEM AWA JACQUELINE EPSE DJIRE</t>
  </si>
  <si>
    <t>07 59 37 49 20</t>
  </si>
  <si>
    <t xml:space="preserve">HOLLAND Nâ€™DA SEBASTIEN </t>
  </si>
  <si>
    <t>KONAN KOUADIO CHRISTIAN</t>
  </si>
  <si>
    <t>SOULEYMANE SIDIBE</t>
  </si>
  <si>
    <t>ASSAMOI ASSAMOA ERIC OLIVIER</t>
  </si>
  <si>
    <t>Administrateur GÃ©nÃ©ral</t>
  </si>
  <si>
    <t>DCK-286</t>
  </si>
  <si>
    <t>DCK-CGA2024-A078</t>
  </si>
  <si>
    <t xml:space="preserve">VENTE DE GROUPE ELECTROGENE </t>
  </si>
  <si>
    <t>KADJA MIANNO WILFRIED-LOIC</t>
  </si>
  <si>
    <t>DCK-287</t>
  </si>
  <si>
    <t>DCK-CGA2024-A079</t>
  </si>
  <si>
    <t>N'ZI KOUADIO N'DRI VICTORIEN</t>
  </si>
  <si>
    <t>DCK-288</t>
  </si>
  <si>
    <t>DCK-CGA2024-A080</t>
  </si>
  <si>
    <t>client_cga</t>
  </si>
  <si>
    <t xml:space="preserve">DEBRIMOU DANIELLE RENEE </t>
  </si>
  <si>
    <t>DCK-289</t>
  </si>
  <si>
    <t>DCK-CGA2024-A081</t>
  </si>
  <si>
    <t>AMEYAO BORIS AUDREY</t>
  </si>
  <si>
    <t>DCK-290</t>
  </si>
  <si>
    <t>DCK-CGA2024-A082</t>
  </si>
  <si>
    <t>MAINTENANCE INFORMATIQUE BATIMENTS ET TRAVAUX PUBLICS, Achat location, vente de vÃ©hicule, achat et vente de fournitures</t>
  </si>
  <si>
    <t>DEMBELE FOUSSENI</t>
  </si>
  <si>
    <t>DCK-291</t>
  </si>
  <si>
    <t>DCK-CGA2024-A083</t>
  </si>
  <si>
    <t>SIAVGVR</t>
  </si>
  <si>
    <t>DCK-292</t>
  </si>
  <si>
    <t>DCK-CGA2024-A084</t>
  </si>
  <si>
    <t>OUEDRAOGO WENPANGA MARIUS</t>
  </si>
  <si>
    <t>DCK-293</t>
  </si>
  <si>
    <t>DCK-CGA2024-A085</t>
  </si>
  <si>
    <t>07 07 79 93 33 65</t>
  </si>
  <si>
    <t xml:space="preserve">MEDY GROUP </t>
  </si>
  <si>
    <t xml:space="preserve">COULIBALY KOUONA AHMED </t>
  </si>
  <si>
    <t>0717084121 / 0544427272</t>
  </si>
  <si>
    <t>LOH DAMAS</t>
  </si>
  <si>
    <t>DCK-295</t>
  </si>
  <si>
    <t>DCK-CGA2024-A087</t>
  </si>
  <si>
    <t>HAXYN SERVICES</t>
  </si>
  <si>
    <t>DCK-296</t>
  </si>
  <si>
    <t>DCK-CGA2024-A088</t>
  </si>
  <si>
    <t xml:space="preserve">MLK VOYAGE ET TOURISME </t>
  </si>
  <si>
    <t xml:space="preserve">AKA  ADJO MARIE LUC EMMANUELLA </t>
  </si>
  <si>
    <t>LOGBY CASIMIR</t>
  </si>
  <si>
    <t>DCK-299</t>
  </si>
  <si>
    <t>DCK-CGA2024-A090</t>
  </si>
  <si>
    <t>Formation Ã  la conduite au permis</t>
  </si>
  <si>
    <t>27 22 44 23 45</t>
  </si>
  <si>
    <t>KEHI GUEYLAMON ALBIN</t>
  </si>
  <si>
    <t>COCODY RIVIERA PALMERAIE EN FACE DE L'HÃ”TEL LA FRAICHEUR</t>
  </si>
  <si>
    <t>Kouma Kouassi Bernadin</t>
  </si>
  <si>
    <t>07 09 03 12 99</t>
  </si>
  <si>
    <t>COCODY PALMERAIE EN FACE DE L'HÃ”TEL LA FRAICHEUR</t>
  </si>
  <si>
    <t>DOFFOU THEYA ALEXANDRIE CAROLLE</t>
  </si>
  <si>
    <t>Mandioba N'GondiÃ© Solange</t>
  </si>
  <si>
    <t>Exploitante</t>
  </si>
  <si>
    <t>Portefeuilles</t>
  </si>
  <si>
    <t>Mandioba N'Gondié Solange</t>
  </si>
  <si>
    <t>C180100</t>
  </si>
  <si>
    <t>S960002</t>
  </si>
  <si>
    <t>R900000</t>
  </si>
  <si>
    <t>M74002</t>
  </si>
  <si>
    <t>TRAORE SEYDOU</t>
  </si>
  <si>
    <t>F430004</t>
  </si>
  <si>
    <t>Q860100</t>
  </si>
  <si>
    <t>ROGER KOFFI BANGO</t>
  </si>
  <si>
    <t>C140100</t>
  </si>
  <si>
    <t>G470306</t>
  </si>
  <si>
    <t>G460501</t>
  </si>
  <si>
    <t>G4702</t>
  </si>
  <si>
    <t>H51001</t>
  </si>
  <si>
    <t>KONE EUGENIE EPSE KOSSA</t>
  </si>
  <si>
    <t>L680100</t>
  </si>
  <si>
    <t>YACE EPSE ANGUERA NINA CATHERINE</t>
  </si>
  <si>
    <t>P850400</t>
  </si>
  <si>
    <t>N770002</t>
  </si>
  <si>
    <t>COFFI  LYNN BRENDA</t>
  </si>
  <si>
    <t>K660002</t>
  </si>
  <si>
    <t>G4503</t>
  </si>
  <si>
    <t>G470203</t>
  </si>
  <si>
    <t>KOUADIO BOUADOU HERMANN</t>
  </si>
  <si>
    <t>G470201</t>
  </si>
  <si>
    <t>N810002</t>
  </si>
  <si>
    <t>BOSSO MARC OLIVIER</t>
  </si>
  <si>
    <t>N'GUESSAN KOFFI RICHARD</t>
  </si>
  <si>
    <t>Q860200</t>
  </si>
  <si>
    <t>G450200</t>
  </si>
  <si>
    <t>G470204</t>
  </si>
  <si>
    <t>DIDI KOUKO</t>
  </si>
  <si>
    <t>A0104</t>
  </si>
  <si>
    <t>J610000</t>
  </si>
  <si>
    <t>KOUASSI KOUAKOU PATERN</t>
  </si>
  <si>
    <t>BADO AICHA GRACE</t>
  </si>
  <si>
    <t>O8403</t>
  </si>
  <si>
    <t>H490202</t>
  </si>
  <si>
    <t>G470304</t>
  </si>
  <si>
    <t>TOURE EPSE M'BAYE MARIAM</t>
  </si>
  <si>
    <t>N810001</t>
  </si>
  <si>
    <t>G620002</t>
  </si>
  <si>
    <t>G470205</t>
  </si>
  <si>
    <t>I550000</t>
  </si>
  <si>
    <t>KOME KOKOU AGBEDJIDOR</t>
  </si>
  <si>
    <t>G460301</t>
  </si>
  <si>
    <t>J6200</t>
  </si>
  <si>
    <t>+225 08 68 68 83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</si>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</sst>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ang/Downloads/tblclients%20old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lclients (1)"/>
      <sheetName val="Feuil1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203</v>
          </cell>
        </row>
        <row r="203">
          <cell r="A203">
            <v>204</v>
          </cell>
        </row>
        <row r="204">
          <cell r="A204">
            <v>205</v>
          </cell>
        </row>
        <row r="205">
          <cell r="A205">
            <v>206</v>
          </cell>
        </row>
        <row r="206">
          <cell r="A206">
            <v>207</v>
          </cell>
        </row>
        <row r="207">
          <cell r="A207">
            <v>208</v>
          </cell>
        </row>
        <row r="208">
          <cell r="A208">
            <v>209</v>
          </cell>
        </row>
        <row r="209">
          <cell r="A209">
            <v>210</v>
          </cell>
        </row>
        <row r="210">
          <cell r="A210">
            <v>211</v>
          </cell>
        </row>
        <row r="211">
          <cell r="A211">
            <v>212</v>
          </cell>
        </row>
        <row r="212">
          <cell r="A212">
            <v>213</v>
          </cell>
        </row>
        <row r="213">
          <cell r="A213">
            <v>214</v>
          </cell>
        </row>
        <row r="214">
          <cell r="A214">
            <v>215</v>
          </cell>
        </row>
        <row r="215">
          <cell r="A215">
            <v>216</v>
          </cell>
        </row>
        <row r="216">
          <cell r="A216">
            <v>217</v>
          </cell>
        </row>
        <row r="217">
          <cell r="A217">
            <v>218</v>
          </cell>
        </row>
        <row r="218">
          <cell r="A218">
            <v>219</v>
          </cell>
        </row>
        <row r="219">
          <cell r="A219">
            <v>220</v>
          </cell>
        </row>
        <row r="220">
          <cell r="A220">
            <v>221</v>
          </cell>
        </row>
        <row r="221">
          <cell r="A221">
            <v>222</v>
          </cell>
        </row>
        <row r="222">
          <cell r="A222">
            <v>223</v>
          </cell>
        </row>
        <row r="223">
          <cell r="A223">
            <v>224</v>
          </cell>
        </row>
        <row r="224">
          <cell r="A224">
            <v>226</v>
          </cell>
        </row>
        <row r="225">
          <cell r="A225">
            <v>227</v>
          </cell>
        </row>
        <row r="226">
          <cell r="A226">
            <v>230</v>
          </cell>
        </row>
        <row r="227">
          <cell r="A227">
            <v>231</v>
          </cell>
        </row>
        <row r="228">
          <cell r="A228">
            <v>232</v>
          </cell>
        </row>
        <row r="229">
          <cell r="A229">
            <v>233</v>
          </cell>
        </row>
        <row r="230">
          <cell r="A230">
            <v>234</v>
          </cell>
        </row>
        <row r="231">
          <cell r="A231">
            <v>235</v>
          </cell>
        </row>
        <row r="232">
          <cell r="A232">
            <v>236</v>
          </cell>
        </row>
        <row r="233">
          <cell r="A233">
            <v>237</v>
          </cell>
        </row>
        <row r="234">
          <cell r="A234">
            <v>238</v>
          </cell>
        </row>
        <row r="235">
          <cell r="A235">
            <v>239</v>
          </cell>
        </row>
        <row r="236">
          <cell r="A236">
            <v>240</v>
          </cell>
        </row>
        <row r="237">
          <cell r="A237">
            <v>241</v>
          </cell>
        </row>
        <row r="238">
          <cell r="A238">
            <v>242</v>
          </cell>
        </row>
        <row r="239">
          <cell r="A239">
            <v>243</v>
          </cell>
        </row>
        <row r="240">
          <cell r="A240">
            <v>244</v>
          </cell>
        </row>
        <row r="241">
          <cell r="A241">
            <v>245</v>
          </cell>
        </row>
        <row r="242">
          <cell r="A242">
            <v>246</v>
          </cell>
        </row>
        <row r="243">
          <cell r="A243">
            <v>247</v>
          </cell>
        </row>
        <row r="244">
          <cell r="A244">
            <v>248</v>
          </cell>
        </row>
        <row r="245">
          <cell r="A245">
            <v>249</v>
          </cell>
        </row>
        <row r="246">
          <cell r="A246">
            <v>250</v>
          </cell>
        </row>
        <row r="247">
          <cell r="A247">
            <v>251</v>
          </cell>
        </row>
        <row r="248">
          <cell r="A248">
            <v>252</v>
          </cell>
        </row>
        <row r="249">
          <cell r="A249">
            <v>253</v>
          </cell>
        </row>
        <row r="250">
          <cell r="A250">
            <v>254</v>
          </cell>
        </row>
        <row r="251">
          <cell r="A251">
            <v>255</v>
          </cell>
        </row>
        <row r="252">
          <cell r="A252">
            <v>256</v>
          </cell>
        </row>
        <row r="253">
          <cell r="A253">
            <v>257</v>
          </cell>
        </row>
        <row r="254">
          <cell r="A254">
            <v>258</v>
          </cell>
        </row>
        <row r="255">
          <cell r="A255">
            <v>259</v>
          </cell>
        </row>
        <row r="256">
          <cell r="A256">
            <v>260</v>
          </cell>
        </row>
        <row r="257">
          <cell r="A257">
            <v>261</v>
          </cell>
        </row>
        <row r="258">
          <cell r="A258">
            <v>262</v>
          </cell>
        </row>
        <row r="259">
          <cell r="A259">
            <v>263</v>
          </cell>
        </row>
        <row r="260">
          <cell r="A260">
            <v>264</v>
          </cell>
        </row>
        <row r="261">
          <cell r="A261">
            <v>265</v>
          </cell>
        </row>
        <row r="262">
          <cell r="A262">
            <v>266</v>
          </cell>
        </row>
        <row r="263">
          <cell r="A263">
            <v>267</v>
          </cell>
        </row>
        <row r="264">
          <cell r="A264">
            <v>268</v>
          </cell>
        </row>
        <row r="265">
          <cell r="A265">
            <v>269</v>
          </cell>
        </row>
        <row r="266">
          <cell r="A266">
            <v>271</v>
          </cell>
        </row>
        <row r="267">
          <cell r="A267">
            <v>272</v>
          </cell>
        </row>
        <row r="268">
          <cell r="A268">
            <v>273</v>
          </cell>
        </row>
        <row r="269">
          <cell r="A269">
            <v>274</v>
          </cell>
        </row>
        <row r="270">
          <cell r="A270">
            <v>275</v>
          </cell>
        </row>
        <row r="271">
          <cell r="A271">
            <v>276</v>
          </cell>
        </row>
        <row r="272">
          <cell r="A272">
            <v>277</v>
          </cell>
        </row>
        <row r="273">
          <cell r="A273">
            <v>278</v>
          </cell>
        </row>
        <row r="274">
          <cell r="A274">
            <v>279</v>
          </cell>
        </row>
        <row r="275">
          <cell r="A275">
            <v>280</v>
          </cell>
        </row>
        <row r="276">
          <cell r="A276">
            <v>281</v>
          </cell>
        </row>
        <row r="277">
          <cell r="A277">
            <v>282</v>
          </cell>
        </row>
        <row r="278">
          <cell r="A278">
            <v>283</v>
          </cell>
        </row>
        <row r="279">
          <cell r="A279">
            <v>284</v>
          </cell>
        </row>
        <row r="280">
          <cell r="A280">
            <v>285</v>
          </cell>
        </row>
        <row r="281">
          <cell r="A281">
            <v>286</v>
          </cell>
        </row>
        <row r="282">
          <cell r="A282">
            <v>287</v>
          </cell>
        </row>
        <row r="283">
          <cell r="A283">
            <v>288</v>
          </cell>
        </row>
        <row r="284">
          <cell r="A284">
            <v>289</v>
          </cell>
        </row>
        <row r="285">
          <cell r="A285">
            <v>290</v>
          </cell>
        </row>
        <row r="286">
          <cell r="A286">
            <v>291</v>
          </cell>
        </row>
        <row r="287">
          <cell r="A287">
            <v>292</v>
          </cell>
        </row>
        <row r="288">
          <cell r="A288">
            <v>293</v>
          </cell>
        </row>
        <row r="289">
          <cell r="A289">
            <v>294</v>
          </cell>
        </row>
        <row r="290">
          <cell r="A290">
            <v>295</v>
          </cell>
        </row>
        <row r="291">
          <cell r="A291">
            <v>297</v>
          </cell>
        </row>
        <row r="292">
          <cell r="A292">
            <v>298</v>
          </cell>
        </row>
        <row r="293">
          <cell r="A293">
            <v>299</v>
          </cell>
        </row>
        <row r="294">
          <cell r="A294">
            <v>300</v>
          </cell>
        </row>
        <row r="295">
          <cell r="A295">
            <v>301</v>
          </cell>
        </row>
        <row r="296">
          <cell r="A296">
            <v>302</v>
          </cell>
        </row>
        <row r="297">
          <cell r="A297">
            <v>303</v>
          </cell>
        </row>
        <row r="298">
          <cell r="A298">
            <v>304</v>
          </cell>
        </row>
      </sheetData>
      <sheetData sheetId="1">
        <row r="1">
          <cell r="A1" t="str">
            <v>userid</v>
          </cell>
          <cell r="B1" t="str">
            <v>id</v>
          </cell>
          <cell r="C1" t="str">
            <v>is_primary</v>
          </cell>
          <cell r="D1" t="str">
            <v>firstname</v>
          </cell>
          <cell r="E1" t="str">
            <v>lastname</v>
          </cell>
          <cell r="F1" t="str">
            <v>phonenumber</v>
          </cell>
          <cell r="G1" t="str">
            <v>title</v>
          </cell>
        </row>
        <row r="2">
          <cell r="A2">
            <v>1</v>
          </cell>
          <cell r="B2">
            <v>1</v>
          </cell>
          <cell r="C2">
            <v>1</v>
          </cell>
          <cell r="D2" t="str">
            <v>DCK</v>
          </cell>
          <cell r="F2">
            <v>2250767131993</v>
          </cell>
          <cell r="G2" t="str">
            <v>CGA</v>
          </cell>
        </row>
        <row r="3">
          <cell r="A3">
            <v>2</v>
          </cell>
          <cell r="B3">
            <v>2</v>
          </cell>
          <cell r="C3">
            <v>2</v>
          </cell>
          <cell r="D3" t="str">
            <v>DCK</v>
          </cell>
          <cell r="F3">
            <v>2250767131993</v>
          </cell>
          <cell r="G3" t="str">
            <v>CGA</v>
          </cell>
        </row>
        <row r="4">
          <cell r="A4">
            <v>3</v>
          </cell>
          <cell r="B4">
            <v>3</v>
          </cell>
          <cell r="C4">
            <v>1</v>
          </cell>
          <cell r="D4" t="str">
            <v>DCK</v>
          </cell>
          <cell r="F4">
            <v>2250767131993</v>
          </cell>
          <cell r="G4" t="str">
            <v>CGA</v>
          </cell>
        </row>
        <row r="5">
          <cell r="A5">
            <v>4</v>
          </cell>
          <cell r="B5">
            <v>4</v>
          </cell>
          <cell r="C5">
            <v>1</v>
          </cell>
          <cell r="D5" t="str">
            <v>DCK</v>
          </cell>
          <cell r="F5">
            <v>2250767131993</v>
          </cell>
          <cell r="G5" t="str">
            <v>CGA</v>
          </cell>
        </row>
        <row r="6">
          <cell r="A6">
            <v>5</v>
          </cell>
          <cell r="B6">
            <v>5</v>
          </cell>
          <cell r="C6">
            <v>1</v>
          </cell>
          <cell r="D6" t="str">
            <v>DCK</v>
          </cell>
          <cell r="F6">
            <v>2250767131993</v>
          </cell>
          <cell r="G6" t="str">
            <v>CGA</v>
          </cell>
        </row>
        <row r="7">
          <cell r="A7">
            <v>6</v>
          </cell>
          <cell r="B7">
            <v>6</v>
          </cell>
          <cell r="C7">
            <v>1</v>
          </cell>
          <cell r="D7" t="str">
            <v>DCK</v>
          </cell>
          <cell r="F7">
            <v>2250767131993</v>
          </cell>
          <cell r="G7" t="str">
            <v>CGA</v>
          </cell>
        </row>
        <row r="8">
          <cell r="A8">
            <v>7</v>
          </cell>
          <cell r="B8">
            <v>7</v>
          </cell>
          <cell r="C8">
            <v>1</v>
          </cell>
          <cell r="D8" t="str">
            <v>DCK</v>
          </cell>
          <cell r="F8">
            <v>2250767131993</v>
          </cell>
          <cell r="G8" t="str">
            <v>CGA</v>
          </cell>
        </row>
        <row r="9">
          <cell r="A9">
            <v>8</v>
          </cell>
          <cell r="B9">
            <v>8</v>
          </cell>
          <cell r="C9">
            <v>1</v>
          </cell>
          <cell r="D9" t="str">
            <v>DCK</v>
          </cell>
          <cell r="F9">
            <v>2250767131993</v>
          </cell>
          <cell r="G9" t="str">
            <v>CGA</v>
          </cell>
        </row>
        <row r="10">
          <cell r="A10">
            <v>9</v>
          </cell>
          <cell r="B10">
            <v>9</v>
          </cell>
          <cell r="C10">
            <v>1</v>
          </cell>
          <cell r="D10" t="str">
            <v>DCK</v>
          </cell>
          <cell r="F10">
            <v>2250767131993</v>
          </cell>
          <cell r="G10" t="str">
            <v>CGA</v>
          </cell>
        </row>
        <row r="11">
          <cell r="A11">
            <v>10</v>
          </cell>
          <cell r="B11">
            <v>10</v>
          </cell>
          <cell r="C11">
            <v>1</v>
          </cell>
          <cell r="D11" t="str">
            <v>DCK</v>
          </cell>
          <cell r="F11">
            <v>2250767131993</v>
          </cell>
          <cell r="G11" t="str">
            <v>CGA</v>
          </cell>
        </row>
        <row r="12">
          <cell r="A12">
            <v>11</v>
          </cell>
          <cell r="B12">
            <v>11</v>
          </cell>
          <cell r="C12">
            <v>1</v>
          </cell>
          <cell r="D12" t="str">
            <v>DCK</v>
          </cell>
          <cell r="F12">
            <v>2250767131993</v>
          </cell>
          <cell r="G12" t="str">
            <v>CGA</v>
          </cell>
        </row>
        <row r="13">
          <cell r="A13">
            <v>12</v>
          </cell>
          <cell r="B13">
            <v>12</v>
          </cell>
          <cell r="C13">
            <v>1</v>
          </cell>
          <cell r="D13" t="str">
            <v>DCK</v>
          </cell>
          <cell r="F13">
            <v>2250767131993</v>
          </cell>
          <cell r="G13" t="str">
            <v>CGA</v>
          </cell>
        </row>
        <row r="14">
          <cell r="A14">
            <v>13</v>
          </cell>
          <cell r="B14">
            <v>13</v>
          </cell>
          <cell r="C14">
            <v>1</v>
          </cell>
          <cell r="D14" t="str">
            <v>DCK</v>
          </cell>
          <cell r="F14">
            <v>2250767131993</v>
          </cell>
          <cell r="G14" t="str">
            <v>CGA</v>
          </cell>
        </row>
        <row r="15">
          <cell r="A15">
            <v>14</v>
          </cell>
          <cell r="B15">
            <v>14</v>
          </cell>
          <cell r="C15">
            <v>1</v>
          </cell>
          <cell r="D15" t="str">
            <v>DCK</v>
          </cell>
          <cell r="F15">
            <v>2250767131993</v>
          </cell>
          <cell r="G15" t="str">
            <v>CGA</v>
          </cell>
        </row>
        <row r="16">
          <cell r="A16">
            <v>15</v>
          </cell>
          <cell r="B16">
            <v>15</v>
          </cell>
          <cell r="C16">
            <v>1</v>
          </cell>
          <cell r="D16" t="str">
            <v>DCK</v>
          </cell>
          <cell r="F16">
            <v>2250767131993</v>
          </cell>
          <cell r="G16" t="str">
            <v>CGA</v>
          </cell>
        </row>
        <row r="17">
          <cell r="A17">
            <v>16</v>
          </cell>
          <cell r="B17">
            <v>16</v>
          </cell>
          <cell r="C17">
            <v>1</v>
          </cell>
          <cell r="D17" t="str">
            <v>DCK</v>
          </cell>
          <cell r="F17">
            <v>2250767131993</v>
          </cell>
          <cell r="G17" t="str">
            <v>CGA</v>
          </cell>
        </row>
        <row r="18">
          <cell r="A18">
            <v>17</v>
          </cell>
          <cell r="B18">
            <v>17</v>
          </cell>
          <cell r="C18">
            <v>1</v>
          </cell>
          <cell r="D18" t="str">
            <v>DCK</v>
          </cell>
          <cell r="F18">
            <v>2250767131993</v>
          </cell>
          <cell r="G18" t="str">
            <v>CGA</v>
          </cell>
        </row>
        <row r="19">
          <cell r="A19">
            <v>18</v>
          </cell>
          <cell r="B19">
            <v>18</v>
          </cell>
          <cell r="C19">
            <v>1</v>
          </cell>
          <cell r="D19" t="str">
            <v>DCK</v>
          </cell>
          <cell r="F19">
            <v>2250767131993</v>
          </cell>
          <cell r="G19" t="str">
            <v>CGA</v>
          </cell>
        </row>
        <row r="20">
          <cell r="A20">
            <v>19</v>
          </cell>
          <cell r="B20">
            <v>19</v>
          </cell>
          <cell r="C20">
            <v>1</v>
          </cell>
          <cell r="D20" t="str">
            <v>DCK</v>
          </cell>
          <cell r="F20">
            <v>2250767131993</v>
          </cell>
          <cell r="G20" t="str">
            <v>CGA</v>
          </cell>
        </row>
        <row r="21">
          <cell r="A21">
            <v>20</v>
          </cell>
          <cell r="B21">
            <v>20</v>
          </cell>
          <cell r="C21">
            <v>1</v>
          </cell>
          <cell r="D21" t="str">
            <v>DCK</v>
          </cell>
          <cell r="F21">
            <v>2250767131993</v>
          </cell>
          <cell r="G21" t="str">
            <v>CGA</v>
          </cell>
        </row>
        <row r="22">
          <cell r="A22">
            <v>21</v>
          </cell>
          <cell r="B22">
            <v>21</v>
          </cell>
          <cell r="C22">
            <v>1</v>
          </cell>
          <cell r="D22" t="str">
            <v>DCK</v>
          </cell>
          <cell r="F22">
            <v>2250767131993</v>
          </cell>
          <cell r="G22" t="str">
            <v>CGA</v>
          </cell>
        </row>
        <row r="23">
          <cell r="A23">
            <v>22</v>
          </cell>
          <cell r="B23">
            <v>22</v>
          </cell>
          <cell r="C23">
            <v>1</v>
          </cell>
          <cell r="D23" t="str">
            <v>DCK</v>
          </cell>
          <cell r="F23">
            <v>2250767131993</v>
          </cell>
          <cell r="G23" t="str">
            <v>CGA</v>
          </cell>
        </row>
        <row r="24">
          <cell r="A24">
            <v>23</v>
          </cell>
          <cell r="B24">
            <v>23</v>
          </cell>
          <cell r="C24">
            <v>1</v>
          </cell>
          <cell r="D24" t="str">
            <v>DCK</v>
          </cell>
          <cell r="F24">
            <v>2250767131993</v>
          </cell>
          <cell r="G24" t="str">
            <v>CGA</v>
          </cell>
        </row>
        <row r="25">
          <cell r="A25">
            <v>24</v>
          </cell>
          <cell r="B25">
            <v>24</v>
          </cell>
          <cell r="C25">
            <v>1</v>
          </cell>
          <cell r="D25" t="str">
            <v>DCK</v>
          </cell>
          <cell r="F25">
            <v>2250767131993</v>
          </cell>
          <cell r="G25" t="str">
            <v>CGA</v>
          </cell>
        </row>
        <row r="26">
          <cell r="A26">
            <v>25</v>
          </cell>
          <cell r="B26">
            <v>25</v>
          </cell>
          <cell r="C26">
            <v>1</v>
          </cell>
          <cell r="D26" t="str">
            <v>DCK</v>
          </cell>
          <cell r="F26">
            <v>2250767131993</v>
          </cell>
          <cell r="G26" t="str">
            <v>CGA</v>
          </cell>
        </row>
        <row r="27">
          <cell r="A27">
            <v>26</v>
          </cell>
          <cell r="B27">
            <v>26</v>
          </cell>
          <cell r="C27">
            <v>1</v>
          </cell>
          <cell r="D27" t="str">
            <v>DCK</v>
          </cell>
          <cell r="F27">
            <v>2250767131993</v>
          </cell>
          <cell r="G27" t="str">
            <v>CGA</v>
          </cell>
        </row>
        <row r="28">
          <cell r="A28">
            <v>27</v>
          </cell>
          <cell r="B28">
            <v>27</v>
          </cell>
          <cell r="C28">
            <v>1</v>
          </cell>
          <cell r="D28" t="str">
            <v>DCK</v>
          </cell>
          <cell r="F28">
            <v>2250767131993</v>
          </cell>
          <cell r="G28" t="str">
            <v>CGA</v>
          </cell>
        </row>
        <row r="29">
          <cell r="A29">
            <v>28</v>
          </cell>
          <cell r="B29">
            <v>28</v>
          </cell>
          <cell r="C29">
            <v>1</v>
          </cell>
          <cell r="D29" t="str">
            <v>DCK</v>
          </cell>
          <cell r="F29">
            <v>2250767131993</v>
          </cell>
          <cell r="G29" t="str">
            <v>CGA</v>
          </cell>
        </row>
        <row r="30">
          <cell r="A30">
            <v>29</v>
          </cell>
          <cell r="B30">
            <v>29</v>
          </cell>
          <cell r="C30">
            <v>1</v>
          </cell>
          <cell r="D30" t="str">
            <v>DCK</v>
          </cell>
          <cell r="F30">
            <v>2250767131993</v>
          </cell>
          <cell r="G30" t="str">
            <v>CGA</v>
          </cell>
        </row>
        <row r="31">
          <cell r="A31">
            <v>30</v>
          </cell>
          <cell r="B31">
            <v>30</v>
          </cell>
          <cell r="C31">
            <v>1</v>
          </cell>
          <cell r="D31" t="str">
            <v>DCK</v>
          </cell>
          <cell r="F31">
            <v>2250767131993</v>
          </cell>
          <cell r="G31" t="str">
            <v>CGA</v>
          </cell>
        </row>
        <row r="32">
          <cell r="A32">
            <v>31</v>
          </cell>
          <cell r="B32">
            <v>31</v>
          </cell>
          <cell r="C32">
            <v>1</v>
          </cell>
          <cell r="D32" t="str">
            <v>DCK</v>
          </cell>
          <cell r="F32">
            <v>2250767131993</v>
          </cell>
          <cell r="G32" t="str">
            <v>CGA</v>
          </cell>
        </row>
        <row r="33">
          <cell r="A33">
            <v>32</v>
          </cell>
          <cell r="B33">
            <v>32</v>
          </cell>
          <cell r="C33">
            <v>1</v>
          </cell>
          <cell r="D33" t="str">
            <v>DCK</v>
          </cell>
          <cell r="F33">
            <v>2250767131993</v>
          </cell>
          <cell r="G33" t="str">
            <v>CGA</v>
          </cell>
        </row>
        <row r="34">
          <cell r="A34">
            <v>33</v>
          </cell>
          <cell r="B34">
            <v>33</v>
          </cell>
          <cell r="C34">
            <v>1</v>
          </cell>
          <cell r="D34" t="str">
            <v>DCK</v>
          </cell>
          <cell r="F34">
            <v>2250767131993</v>
          </cell>
          <cell r="G34" t="str">
            <v>CGA</v>
          </cell>
        </row>
        <row r="35">
          <cell r="A35">
            <v>34</v>
          </cell>
          <cell r="B35">
            <v>34</v>
          </cell>
          <cell r="C35">
            <v>1</v>
          </cell>
          <cell r="D35" t="str">
            <v>DCK</v>
          </cell>
          <cell r="F35">
            <v>2250767131993</v>
          </cell>
          <cell r="G35" t="str">
            <v>CGA</v>
          </cell>
        </row>
        <row r="36">
          <cell r="A36">
            <v>35</v>
          </cell>
          <cell r="B36">
            <v>35</v>
          </cell>
          <cell r="C36">
            <v>1</v>
          </cell>
          <cell r="D36" t="str">
            <v>DCK</v>
          </cell>
          <cell r="F36">
            <v>2250767131993</v>
          </cell>
          <cell r="G36" t="str">
            <v>CGA</v>
          </cell>
        </row>
        <row r="37">
          <cell r="A37">
            <v>36</v>
          </cell>
          <cell r="B37">
            <v>36</v>
          </cell>
          <cell r="C37">
            <v>1</v>
          </cell>
          <cell r="D37" t="str">
            <v>DCK</v>
          </cell>
          <cell r="F37">
            <v>2250767131993</v>
          </cell>
          <cell r="G37" t="str">
            <v>CGA</v>
          </cell>
        </row>
        <row r="38">
          <cell r="A38">
            <v>37</v>
          </cell>
          <cell r="B38">
            <v>37</v>
          </cell>
          <cell r="C38">
            <v>1</v>
          </cell>
          <cell r="D38" t="str">
            <v>DCK</v>
          </cell>
          <cell r="F38">
            <v>2250767131993</v>
          </cell>
          <cell r="G38" t="str">
            <v>CGA</v>
          </cell>
        </row>
        <row r="39">
          <cell r="A39">
            <v>38</v>
          </cell>
          <cell r="B39">
            <v>38</v>
          </cell>
          <cell r="C39">
            <v>1</v>
          </cell>
          <cell r="D39" t="str">
            <v>DCK</v>
          </cell>
          <cell r="F39">
            <v>2250767131993</v>
          </cell>
          <cell r="G39" t="str">
            <v>CGA</v>
          </cell>
        </row>
        <row r="40">
          <cell r="A40">
            <v>39</v>
          </cell>
          <cell r="B40">
            <v>39</v>
          </cell>
          <cell r="C40">
            <v>1</v>
          </cell>
          <cell r="D40" t="str">
            <v>DCK</v>
          </cell>
          <cell r="F40">
            <v>2250767131993</v>
          </cell>
          <cell r="G40" t="str">
            <v>CGA</v>
          </cell>
        </row>
        <row r="41">
          <cell r="A41">
            <v>40</v>
          </cell>
          <cell r="B41">
            <v>40</v>
          </cell>
          <cell r="C41">
            <v>1</v>
          </cell>
          <cell r="D41" t="str">
            <v>DCK</v>
          </cell>
          <cell r="F41">
            <v>2250767131993</v>
          </cell>
          <cell r="G41" t="str">
            <v>CGA</v>
          </cell>
        </row>
        <row r="42">
          <cell r="A42">
            <v>41</v>
          </cell>
          <cell r="B42">
            <v>41</v>
          </cell>
          <cell r="C42">
            <v>1</v>
          </cell>
          <cell r="D42" t="str">
            <v>DCK</v>
          </cell>
          <cell r="F42">
            <v>2250767131993</v>
          </cell>
          <cell r="G42" t="str">
            <v>CGA</v>
          </cell>
        </row>
        <row r="43">
          <cell r="A43">
            <v>42</v>
          </cell>
          <cell r="B43">
            <v>42</v>
          </cell>
          <cell r="C43">
            <v>1</v>
          </cell>
          <cell r="D43" t="str">
            <v>DCK</v>
          </cell>
          <cell r="F43">
            <v>2250767131993</v>
          </cell>
          <cell r="G43" t="str">
            <v>CGA</v>
          </cell>
        </row>
        <row r="44">
          <cell r="A44">
            <v>43</v>
          </cell>
          <cell r="B44">
            <v>43</v>
          </cell>
          <cell r="C44">
            <v>1</v>
          </cell>
          <cell r="D44" t="str">
            <v>DCK</v>
          </cell>
          <cell r="F44">
            <v>2250767131993</v>
          </cell>
          <cell r="G44" t="str">
            <v>CGA</v>
          </cell>
        </row>
        <row r="45">
          <cell r="A45">
            <v>44</v>
          </cell>
          <cell r="B45">
            <v>44</v>
          </cell>
          <cell r="C45">
            <v>1</v>
          </cell>
          <cell r="D45" t="str">
            <v>DCK</v>
          </cell>
          <cell r="F45">
            <v>2250767131993</v>
          </cell>
          <cell r="G45" t="str">
            <v>CGA</v>
          </cell>
        </row>
        <row r="46">
          <cell r="A46">
            <v>45</v>
          </cell>
          <cell r="B46">
            <v>45</v>
          </cell>
          <cell r="C46">
            <v>1</v>
          </cell>
          <cell r="D46" t="str">
            <v>DCK</v>
          </cell>
          <cell r="F46">
            <v>2250767131993</v>
          </cell>
          <cell r="G46" t="str">
            <v>CGA</v>
          </cell>
        </row>
        <row r="47">
          <cell r="A47">
            <v>46</v>
          </cell>
          <cell r="B47">
            <v>46</v>
          </cell>
          <cell r="C47">
            <v>1</v>
          </cell>
          <cell r="D47" t="str">
            <v>DCK</v>
          </cell>
          <cell r="F47">
            <v>2250767131993</v>
          </cell>
          <cell r="G47" t="str">
            <v>CGA</v>
          </cell>
        </row>
        <row r="48">
          <cell r="A48">
            <v>47</v>
          </cell>
          <cell r="B48">
            <v>47</v>
          </cell>
          <cell r="C48">
            <v>1</v>
          </cell>
          <cell r="D48" t="str">
            <v>DCK</v>
          </cell>
          <cell r="F48">
            <v>2250767131993</v>
          </cell>
          <cell r="G48" t="str">
            <v>CGA</v>
          </cell>
        </row>
        <row r="49">
          <cell r="A49">
            <v>48</v>
          </cell>
          <cell r="B49">
            <v>48</v>
          </cell>
          <cell r="C49">
            <v>1</v>
          </cell>
          <cell r="D49" t="str">
            <v>DCK</v>
          </cell>
          <cell r="F49">
            <v>2250767131993</v>
          </cell>
          <cell r="G49" t="str">
            <v>CGA</v>
          </cell>
        </row>
        <row r="50">
          <cell r="A50">
            <v>49</v>
          </cell>
          <cell r="B50">
            <v>49</v>
          </cell>
          <cell r="C50">
            <v>1</v>
          </cell>
          <cell r="D50" t="str">
            <v>DCK</v>
          </cell>
          <cell r="F50">
            <v>2250767131993</v>
          </cell>
          <cell r="G50" t="str">
            <v>CGA</v>
          </cell>
        </row>
        <row r="51">
          <cell r="A51">
            <v>50</v>
          </cell>
          <cell r="B51">
            <v>50</v>
          </cell>
          <cell r="C51">
            <v>1</v>
          </cell>
          <cell r="D51" t="str">
            <v>DCK</v>
          </cell>
          <cell r="F51">
            <v>2250767131993</v>
          </cell>
          <cell r="G51" t="str">
            <v>CGA</v>
          </cell>
        </row>
        <row r="52">
          <cell r="A52">
            <v>51</v>
          </cell>
          <cell r="B52">
            <v>51</v>
          </cell>
          <cell r="C52">
            <v>1</v>
          </cell>
          <cell r="D52" t="str">
            <v>DCK</v>
          </cell>
          <cell r="F52">
            <v>2250767131993</v>
          </cell>
          <cell r="G52" t="str">
            <v>CGA</v>
          </cell>
        </row>
        <row r="53">
          <cell r="A53">
            <v>52</v>
          </cell>
          <cell r="B53">
            <v>52</v>
          </cell>
          <cell r="C53">
            <v>1</v>
          </cell>
          <cell r="D53" t="str">
            <v>DCK</v>
          </cell>
          <cell r="F53">
            <v>2250767131993</v>
          </cell>
          <cell r="G53" t="str">
            <v>CGA</v>
          </cell>
        </row>
        <row r="54">
          <cell r="A54">
            <v>53</v>
          </cell>
          <cell r="B54">
            <v>53</v>
          </cell>
          <cell r="C54">
            <v>1</v>
          </cell>
          <cell r="D54" t="str">
            <v>DCK</v>
          </cell>
          <cell r="F54">
            <v>2250767131993</v>
          </cell>
          <cell r="G54" t="str">
            <v>CGA</v>
          </cell>
        </row>
        <row r="55">
          <cell r="A55">
            <v>54</v>
          </cell>
          <cell r="B55">
            <v>54</v>
          </cell>
          <cell r="C55">
            <v>1</v>
          </cell>
          <cell r="D55" t="str">
            <v>DCK</v>
          </cell>
          <cell r="F55">
            <v>2250767131993</v>
          </cell>
          <cell r="G55" t="str">
            <v>CGA</v>
          </cell>
        </row>
        <row r="56">
          <cell r="A56">
            <v>55</v>
          </cell>
          <cell r="B56">
            <v>55</v>
          </cell>
          <cell r="C56">
            <v>1</v>
          </cell>
          <cell r="D56" t="str">
            <v>KOFFI ALBERT</v>
          </cell>
          <cell r="F56">
            <v>2250767131993</v>
          </cell>
          <cell r="G56" t="str">
            <v>CGA</v>
          </cell>
        </row>
        <row r="57">
          <cell r="A57">
            <v>56</v>
          </cell>
          <cell r="B57">
            <v>56</v>
          </cell>
          <cell r="C57">
            <v>1</v>
          </cell>
          <cell r="D57" t="str">
            <v>KOFFI ALBERT</v>
          </cell>
          <cell r="F57">
            <v>2250767131993</v>
          </cell>
          <cell r="G57" t="str">
            <v>CGA</v>
          </cell>
        </row>
        <row r="58">
          <cell r="A58">
            <v>57</v>
          </cell>
          <cell r="B58">
            <v>57</v>
          </cell>
          <cell r="C58">
            <v>1</v>
          </cell>
          <cell r="D58" t="str">
            <v>KOFFI ALBERT</v>
          </cell>
          <cell r="F58">
            <v>2250767131993</v>
          </cell>
          <cell r="G58" t="str">
            <v>CGA</v>
          </cell>
        </row>
        <row r="59">
          <cell r="A59">
            <v>58</v>
          </cell>
          <cell r="B59">
            <v>58</v>
          </cell>
          <cell r="C59">
            <v>1</v>
          </cell>
          <cell r="D59" t="str">
            <v>KOFFI ALBERT</v>
          </cell>
          <cell r="F59">
            <v>2250767131993</v>
          </cell>
          <cell r="G59" t="str">
            <v>CGA</v>
          </cell>
        </row>
        <row r="60">
          <cell r="A60">
            <v>59</v>
          </cell>
          <cell r="B60">
            <v>59</v>
          </cell>
          <cell r="C60">
            <v>1</v>
          </cell>
          <cell r="D60" t="str">
            <v>KOFFI ALBERT</v>
          </cell>
          <cell r="F60">
            <v>2250767131993</v>
          </cell>
          <cell r="G60" t="str">
            <v>CGA</v>
          </cell>
        </row>
        <row r="61">
          <cell r="A61">
            <v>60</v>
          </cell>
          <cell r="B61">
            <v>60</v>
          </cell>
          <cell r="C61">
            <v>1</v>
          </cell>
          <cell r="D61" t="str">
            <v>KOFFI ALBERT</v>
          </cell>
          <cell r="F61">
            <v>2250767131993</v>
          </cell>
          <cell r="G61" t="str">
            <v>CGA</v>
          </cell>
        </row>
        <row r="62">
          <cell r="A62">
            <v>61</v>
          </cell>
          <cell r="B62">
            <v>61</v>
          </cell>
          <cell r="C62">
            <v>1</v>
          </cell>
          <cell r="D62" t="str">
            <v>KOFFI ALBERT</v>
          </cell>
          <cell r="F62">
            <v>2250767131993</v>
          </cell>
          <cell r="G62" t="str">
            <v>CGA</v>
          </cell>
        </row>
        <row r="63">
          <cell r="A63">
            <v>62</v>
          </cell>
          <cell r="B63">
            <v>62</v>
          </cell>
          <cell r="C63">
            <v>1</v>
          </cell>
          <cell r="D63" t="str">
            <v>KOFFI ALBERT</v>
          </cell>
          <cell r="F63">
            <v>2250767131993</v>
          </cell>
          <cell r="G63" t="str">
            <v>CGA</v>
          </cell>
        </row>
        <row r="64">
          <cell r="A64">
            <v>63</v>
          </cell>
          <cell r="B64">
            <v>63</v>
          </cell>
          <cell r="C64">
            <v>1</v>
          </cell>
          <cell r="D64" t="str">
            <v>KOFFI ALBERT</v>
          </cell>
          <cell r="F64">
            <v>2250767131993</v>
          </cell>
          <cell r="G64" t="str">
            <v>CGA</v>
          </cell>
        </row>
        <row r="65">
          <cell r="A65">
            <v>64</v>
          </cell>
          <cell r="B65">
            <v>64</v>
          </cell>
          <cell r="C65">
            <v>1</v>
          </cell>
          <cell r="D65" t="str">
            <v>KOFFI ALBERT</v>
          </cell>
          <cell r="F65">
            <v>2250767131993</v>
          </cell>
          <cell r="G65" t="str">
            <v>CGA</v>
          </cell>
        </row>
        <row r="66">
          <cell r="A66">
            <v>65</v>
          </cell>
          <cell r="B66">
            <v>65</v>
          </cell>
          <cell r="C66">
            <v>1</v>
          </cell>
          <cell r="D66" t="str">
            <v>KOFFI ALBERT</v>
          </cell>
          <cell r="F66">
            <v>2250767131993</v>
          </cell>
          <cell r="G66" t="str">
            <v>CGA</v>
          </cell>
        </row>
        <row r="67">
          <cell r="A67">
            <v>66</v>
          </cell>
          <cell r="B67">
            <v>66</v>
          </cell>
          <cell r="C67">
            <v>1</v>
          </cell>
          <cell r="D67" t="str">
            <v>KOFFI ALBERT</v>
          </cell>
          <cell r="F67">
            <v>2250767131993</v>
          </cell>
          <cell r="G67" t="str">
            <v>CGA</v>
          </cell>
        </row>
        <row r="68">
          <cell r="A68">
            <v>67</v>
          </cell>
          <cell r="B68">
            <v>67</v>
          </cell>
          <cell r="C68">
            <v>1</v>
          </cell>
          <cell r="D68" t="str">
            <v>KOFFI ALBERT</v>
          </cell>
          <cell r="F68">
            <v>2250767131993</v>
          </cell>
          <cell r="G68" t="str">
            <v>CGA</v>
          </cell>
        </row>
        <row r="69">
          <cell r="A69">
            <v>68</v>
          </cell>
          <cell r="B69">
            <v>68</v>
          </cell>
          <cell r="C69">
            <v>1</v>
          </cell>
          <cell r="D69" t="str">
            <v>KOFFI ALBERT</v>
          </cell>
          <cell r="F69">
            <v>2250767131993</v>
          </cell>
          <cell r="G69" t="str">
            <v>CGA</v>
          </cell>
        </row>
        <row r="70">
          <cell r="A70">
            <v>69</v>
          </cell>
          <cell r="B70">
            <v>69</v>
          </cell>
          <cell r="C70">
            <v>1</v>
          </cell>
          <cell r="D70" t="str">
            <v>KOFFI ALBERT</v>
          </cell>
          <cell r="F70">
            <v>2250767131993</v>
          </cell>
          <cell r="G70" t="str">
            <v>CGA</v>
          </cell>
        </row>
        <row r="71">
          <cell r="A71">
            <v>70</v>
          </cell>
          <cell r="B71">
            <v>70</v>
          </cell>
          <cell r="C71">
            <v>1</v>
          </cell>
          <cell r="D71" t="str">
            <v>KOFFI ALBERT</v>
          </cell>
          <cell r="F71">
            <v>2250767131993</v>
          </cell>
          <cell r="G71" t="str">
            <v>CGA</v>
          </cell>
        </row>
        <row r="72">
          <cell r="A72">
            <v>71</v>
          </cell>
          <cell r="B72">
            <v>71</v>
          </cell>
          <cell r="C72">
            <v>1</v>
          </cell>
          <cell r="D72" t="str">
            <v>KOFFI ALBERT</v>
          </cell>
          <cell r="F72">
            <v>2250767131993</v>
          </cell>
          <cell r="G72" t="str">
            <v>CGA</v>
          </cell>
        </row>
        <row r="73">
          <cell r="A73">
            <v>72</v>
          </cell>
          <cell r="B73">
            <v>72</v>
          </cell>
          <cell r="C73">
            <v>1</v>
          </cell>
          <cell r="D73" t="str">
            <v>KOFFI ALBERT</v>
          </cell>
          <cell r="F73">
            <v>2250767131993</v>
          </cell>
          <cell r="G73" t="str">
            <v>CGA</v>
          </cell>
        </row>
        <row r="74">
          <cell r="A74">
            <v>73</v>
          </cell>
          <cell r="B74">
            <v>73</v>
          </cell>
          <cell r="C74">
            <v>1</v>
          </cell>
          <cell r="D74" t="str">
            <v>KOFFI ALBERT</v>
          </cell>
          <cell r="F74">
            <v>2250767131993</v>
          </cell>
          <cell r="G74" t="str">
            <v>CGA</v>
          </cell>
        </row>
        <row r="75">
          <cell r="A75">
            <v>74</v>
          </cell>
          <cell r="B75">
            <v>74</v>
          </cell>
          <cell r="C75">
            <v>1</v>
          </cell>
          <cell r="D75" t="str">
            <v>KOFFI ALBERT</v>
          </cell>
          <cell r="F75">
            <v>2250767131993</v>
          </cell>
          <cell r="G75" t="str">
            <v>CGA</v>
          </cell>
        </row>
        <row r="76">
          <cell r="A76">
            <v>75</v>
          </cell>
          <cell r="B76">
            <v>75</v>
          </cell>
          <cell r="C76">
            <v>1</v>
          </cell>
          <cell r="D76" t="str">
            <v>KOFFI ALBERT</v>
          </cell>
          <cell r="F76">
            <v>2250767131993</v>
          </cell>
          <cell r="G76" t="str">
            <v>CGA</v>
          </cell>
        </row>
        <row r="77">
          <cell r="A77">
            <v>76</v>
          </cell>
          <cell r="B77">
            <v>76</v>
          </cell>
          <cell r="C77">
            <v>1</v>
          </cell>
          <cell r="D77" t="str">
            <v>KOFFI ALBERT</v>
          </cell>
          <cell r="F77">
            <v>2250767131993</v>
          </cell>
          <cell r="G77" t="str">
            <v>CGA</v>
          </cell>
        </row>
        <row r="78">
          <cell r="A78">
            <v>77</v>
          </cell>
          <cell r="B78">
            <v>77</v>
          </cell>
          <cell r="C78">
            <v>1</v>
          </cell>
          <cell r="D78" t="str">
            <v>KOFFI ALBERT</v>
          </cell>
          <cell r="F78">
            <v>2250767131993</v>
          </cell>
          <cell r="G78" t="str">
            <v>CGA</v>
          </cell>
        </row>
        <row r="79">
          <cell r="A79">
            <v>78</v>
          </cell>
          <cell r="B79">
            <v>78</v>
          </cell>
          <cell r="C79">
            <v>1</v>
          </cell>
          <cell r="D79" t="str">
            <v>KOFFI ALBERT</v>
          </cell>
          <cell r="F79">
            <v>2250767131993</v>
          </cell>
          <cell r="G79" t="str">
            <v>CGA</v>
          </cell>
        </row>
        <row r="80">
          <cell r="A80">
            <v>79</v>
          </cell>
          <cell r="B80">
            <v>79</v>
          </cell>
          <cell r="C80">
            <v>1</v>
          </cell>
          <cell r="D80" t="str">
            <v>KOFFI ALBERT</v>
          </cell>
          <cell r="F80">
            <v>2250767131993</v>
          </cell>
          <cell r="G80" t="str">
            <v>CGA</v>
          </cell>
        </row>
        <row r="81">
          <cell r="A81">
            <v>80</v>
          </cell>
          <cell r="B81">
            <v>80</v>
          </cell>
          <cell r="C81">
            <v>1</v>
          </cell>
          <cell r="D81" t="str">
            <v>KOFFI ALBERT</v>
          </cell>
          <cell r="F81">
            <v>2250767131993</v>
          </cell>
          <cell r="G81" t="str">
            <v>CGA</v>
          </cell>
        </row>
        <row r="82">
          <cell r="A82">
            <v>81</v>
          </cell>
          <cell r="B82">
            <v>81</v>
          </cell>
          <cell r="C82">
            <v>1</v>
          </cell>
          <cell r="D82" t="str">
            <v>KOFFI ALBERT</v>
          </cell>
          <cell r="F82">
            <v>2250767131993</v>
          </cell>
          <cell r="G82" t="str">
            <v>CGA</v>
          </cell>
        </row>
        <row r="83">
          <cell r="A83">
            <v>82</v>
          </cell>
          <cell r="B83">
            <v>82</v>
          </cell>
          <cell r="C83">
            <v>1</v>
          </cell>
          <cell r="D83" t="str">
            <v>KOFFI ALBERT</v>
          </cell>
          <cell r="F83">
            <v>2250767131993</v>
          </cell>
          <cell r="G83" t="str">
            <v>CGA</v>
          </cell>
        </row>
        <row r="84">
          <cell r="A84">
            <v>83</v>
          </cell>
          <cell r="B84">
            <v>83</v>
          </cell>
          <cell r="C84">
            <v>1</v>
          </cell>
          <cell r="D84" t="str">
            <v>KOFFI ALBERT</v>
          </cell>
          <cell r="F84">
            <v>2250767131993</v>
          </cell>
          <cell r="G84" t="str">
            <v>CGA</v>
          </cell>
        </row>
        <row r="85">
          <cell r="A85">
            <v>84</v>
          </cell>
          <cell r="B85">
            <v>84</v>
          </cell>
          <cell r="C85">
            <v>1</v>
          </cell>
          <cell r="D85" t="str">
            <v>KOFFI ALBERT</v>
          </cell>
          <cell r="F85">
            <v>2250767131993</v>
          </cell>
          <cell r="G85" t="str">
            <v>CGA</v>
          </cell>
        </row>
        <row r="86">
          <cell r="A86">
            <v>85</v>
          </cell>
          <cell r="B86">
            <v>85</v>
          </cell>
          <cell r="C86">
            <v>1</v>
          </cell>
          <cell r="D86" t="str">
            <v>KOFFI ALBERT</v>
          </cell>
          <cell r="F86">
            <v>2250767131993</v>
          </cell>
          <cell r="G86" t="str">
            <v>CGA</v>
          </cell>
        </row>
        <row r="87">
          <cell r="A87">
            <v>86</v>
          </cell>
          <cell r="B87">
            <v>86</v>
          </cell>
          <cell r="C87">
            <v>1</v>
          </cell>
          <cell r="D87" t="str">
            <v>KOFFI ALBERT</v>
          </cell>
          <cell r="F87">
            <v>2250767131993</v>
          </cell>
          <cell r="G87" t="str">
            <v>CGA</v>
          </cell>
        </row>
        <row r="88">
          <cell r="A88">
            <v>87</v>
          </cell>
          <cell r="B88">
            <v>87</v>
          </cell>
          <cell r="C88">
            <v>1</v>
          </cell>
          <cell r="D88" t="str">
            <v>KOFFI ALBERT</v>
          </cell>
          <cell r="F88">
            <v>2250767131993</v>
          </cell>
          <cell r="G88" t="str">
            <v>CGA</v>
          </cell>
        </row>
        <row r="89">
          <cell r="A89">
            <v>89</v>
          </cell>
          <cell r="B89">
            <v>89</v>
          </cell>
          <cell r="C89">
            <v>1</v>
          </cell>
          <cell r="D89" t="str">
            <v>KOFFI ALBERT</v>
          </cell>
          <cell r="F89">
            <v>2250767131993</v>
          </cell>
          <cell r="G89" t="str">
            <v>CGA</v>
          </cell>
        </row>
        <row r="90">
          <cell r="A90">
            <v>90</v>
          </cell>
          <cell r="B90">
            <v>90</v>
          </cell>
          <cell r="C90">
            <v>1</v>
          </cell>
          <cell r="D90" t="str">
            <v>KOFFI ALBERT</v>
          </cell>
          <cell r="F90">
            <v>2250767131993</v>
          </cell>
          <cell r="G90" t="str">
            <v>CGA</v>
          </cell>
        </row>
        <row r="91">
          <cell r="A91">
            <v>91</v>
          </cell>
          <cell r="B91">
            <v>91</v>
          </cell>
          <cell r="C91">
            <v>1</v>
          </cell>
          <cell r="D91" t="str">
            <v>KOFFI ALBERT</v>
          </cell>
          <cell r="F91">
            <v>2250767131993</v>
          </cell>
          <cell r="G91" t="str">
            <v>CGA</v>
          </cell>
        </row>
        <row r="92">
          <cell r="A92">
            <v>92</v>
          </cell>
          <cell r="B92">
            <v>92</v>
          </cell>
          <cell r="C92">
            <v>1</v>
          </cell>
          <cell r="D92" t="str">
            <v>KONGOZA HARMEL</v>
          </cell>
          <cell r="F92">
            <v>2250767131993</v>
          </cell>
          <cell r="G92" t="str">
            <v>CGA</v>
          </cell>
        </row>
        <row r="93">
          <cell r="A93">
            <v>93</v>
          </cell>
          <cell r="B93">
            <v>93</v>
          </cell>
          <cell r="C93">
            <v>1</v>
          </cell>
          <cell r="D93" t="str">
            <v>GOHI</v>
          </cell>
          <cell r="F93">
            <v>2250767131993</v>
          </cell>
          <cell r="G93" t="str">
            <v>CGA</v>
          </cell>
        </row>
        <row r="94">
          <cell r="A94">
            <v>94</v>
          </cell>
          <cell r="B94">
            <v>94</v>
          </cell>
          <cell r="C94">
            <v>1</v>
          </cell>
          <cell r="D94" t="str">
            <v>KONGOZA HARMEL</v>
          </cell>
          <cell r="F94">
            <v>2250767131993</v>
          </cell>
          <cell r="G94" t="str">
            <v>CGA</v>
          </cell>
        </row>
        <row r="95">
          <cell r="A95">
            <v>95</v>
          </cell>
          <cell r="B95">
            <v>95</v>
          </cell>
          <cell r="C95">
            <v>1</v>
          </cell>
          <cell r="D95" t="str">
            <v>GOHI</v>
          </cell>
          <cell r="F95">
            <v>2250767131993</v>
          </cell>
          <cell r="G95" t="str">
            <v>CGA</v>
          </cell>
        </row>
        <row r="96">
          <cell r="A96">
            <v>96</v>
          </cell>
          <cell r="B96">
            <v>96</v>
          </cell>
          <cell r="C96">
            <v>1</v>
          </cell>
          <cell r="D96" t="str">
            <v>GOHI</v>
          </cell>
          <cell r="F96">
            <v>2250767131993</v>
          </cell>
          <cell r="G96" t="str">
            <v>CGA</v>
          </cell>
        </row>
        <row r="97">
          <cell r="A97">
            <v>97</v>
          </cell>
          <cell r="B97">
            <v>97</v>
          </cell>
          <cell r="C97">
            <v>1</v>
          </cell>
          <cell r="D97" t="str">
            <v>GOHI</v>
          </cell>
          <cell r="F97">
            <v>2250767131993</v>
          </cell>
          <cell r="G97" t="str">
            <v>CGA</v>
          </cell>
        </row>
        <row r="98">
          <cell r="A98">
            <v>98</v>
          </cell>
          <cell r="B98">
            <v>98</v>
          </cell>
          <cell r="C98">
            <v>1</v>
          </cell>
          <cell r="D98" t="str">
            <v>GOHI</v>
          </cell>
          <cell r="F98">
            <v>2250767131993</v>
          </cell>
          <cell r="G98" t="str">
            <v>CGA</v>
          </cell>
        </row>
        <row r="99">
          <cell r="A99">
            <v>99</v>
          </cell>
          <cell r="B99">
            <v>99</v>
          </cell>
          <cell r="C99">
            <v>1</v>
          </cell>
          <cell r="D99" t="str">
            <v xml:space="preserve">GOHI </v>
          </cell>
          <cell r="F99">
            <v>2250767131993</v>
          </cell>
          <cell r="G99" t="str">
            <v>CGA</v>
          </cell>
        </row>
        <row r="100">
          <cell r="A100">
            <v>100</v>
          </cell>
          <cell r="B100">
            <v>100</v>
          </cell>
          <cell r="C100">
            <v>1</v>
          </cell>
          <cell r="D100" t="str">
            <v xml:space="preserve">GOHI </v>
          </cell>
          <cell r="F100">
            <v>2250767131993</v>
          </cell>
          <cell r="G100" t="str">
            <v>CGA</v>
          </cell>
        </row>
        <row r="101">
          <cell r="A101">
            <v>101</v>
          </cell>
          <cell r="B101">
            <v>101</v>
          </cell>
          <cell r="C101">
            <v>1</v>
          </cell>
          <cell r="D101" t="str">
            <v xml:space="preserve">GOHI </v>
          </cell>
          <cell r="F101">
            <v>2250767131993</v>
          </cell>
          <cell r="G101" t="str">
            <v>CGA</v>
          </cell>
        </row>
        <row r="102">
          <cell r="A102">
            <v>102</v>
          </cell>
          <cell r="B102">
            <v>102</v>
          </cell>
          <cell r="C102">
            <v>1</v>
          </cell>
          <cell r="D102" t="str">
            <v xml:space="preserve">GOHI </v>
          </cell>
          <cell r="F102">
            <v>2250767131993</v>
          </cell>
          <cell r="G102" t="str">
            <v>CGA</v>
          </cell>
        </row>
        <row r="103">
          <cell r="A103">
            <v>103</v>
          </cell>
          <cell r="B103">
            <v>103</v>
          </cell>
          <cell r="C103">
            <v>1</v>
          </cell>
          <cell r="D103" t="str">
            <v xml:space="preserve">GOHI </v>
          </cell>
          <cell r="F103">
            <v>2250767131993</v>
          </cell>
          <cell r="G103" t="str">
            <v>CGA</v>
          </cell>
        </row>
        <row r="104">
          <cell r="A104">
            <v>104</v>
          </cell>
          <cell r="B104">
            <v>104</v>
          </cell>
          <cell r="C104">
            <v>1</v>
          </cell>
          <cell r="D104" t="str">
            <v>CABINET CFA</v>
          </cell>
          <cell r="F104">
            <v>2250767131993</v>
          </cell>
          <cell r="G104" t="str">
            <v>CGA</v>
          </cell>
        </row>
        <row r="105">
          <cell r="A105">
            <v>105</v>
          </cell>
          <cell r="B105">
            <v>105</v>
          </cell>
          <cell r="C105">
            <v>1</v>
          </cell>
          <cell r="D105" t="str">
            <v>CABINET CFA</v>
          </cell>
          <cell r="F105">
            <v>2250767131993</v>
          </cell>
          <cell r="G105" t="str">
            <v>CGA</v>
          </cell>
        </row>
        <row r="106">
          <cell r="A106">
            <v>106</v>
          </cell>
          <cell r="B106">
            <v>106</v>
          </cell>
          <cell r="C106">
            <v>1</v>
          </cell>
          <cell r="D106" t="str">
            <v>CABINET CFA</v>
          </cell>
          <cell r="F106">
            <v>2250767131993</v>
          </cell>
          <cell r="G106" t="str">
            <v>CGA</v>
          </cell>
        </row>
        <row r="107">
          <cell r="A107">
            <v>107</v>
          </cell>
          <cell r="B107">
            <v>107</v>
          </cell>
          <cell r="C107">
            <v>1</v>
          </cell>
          <cell r="D107" t="str">
            <v>CABINET CFA</v>
          </cell>
          <cell r="F107">
            <v>2250767131993</v>
          </cell>
          <cell r="G107" t="str">
            <v>CGA</v>
          </cell>
        </row>
        <row r="108">
          <cell r="A108">
            <v>108</v>
          </cell>
          <cell r="B108">
            <v>108</v>
          </cell>
          <cell r="C108">
            <v>1</v>
          </cell>
          <cell r="D108" t="str">
            <v>CABINET CFA</v>
          </cell>
          <cell r="F108">
            <v>2250767131993</v>
          </cell>
          <cell r="G108" t="str">
            <v>CGA</v>
          </cell>
        </row>
        <row r="109">
          <cell r="A109">
            <v>109</v>
          </cell>
          <cell r="B109">
            <v>109</v>
          </cell>
          <cell r="C109">
            <v>1</v>
          </cell>
          <cell r="D109" t="str">
            <v>CABINET CFA</v>
          </cell>
          <cell r="F109">
            <v>2250767131993</v>
          </cell>
          <cell r="G109" t="str">
            <v>CGA</v>
          </cell>
        </row>
        <row r="110">
          <cell r="A110">
            <v>110</v>
          </cell>
          <cell r="B110">
            <v>110</v>
          </cell>
          <cell r="C110">
            <v>1</v>
          </cell>
          <cell r="D110" t="str">
            <v>CABINET CFA</v>
          </cell>
          <cell r="F110">
            <v>2250767131993</v>
          </cell>
          <cell r="G110" t="str">
            <v>CGA</v>
          </cell>
        </row>
        <row r="111">
          <cell r="A111">
            <v>111</v>
          </cell>
          <cell r="B111">
            <v>111</v>
          </cell>
          <cell r="C111">
            <v>1</v>
          </cell>
          <cell r="D111" t="str">
            <v>CABINET CFA</v>
          </cell>
          <cell r="F111">
            <v>2250767131993</v>
          </cell>
          <cell r="G111" t="str">
            <v>CGA</v>
          </cell>
        </row>
        <row r="112">
          <cell r="A112">
            <v>112</v>
          </cell>
          <cell r="B112">
            <v>112</v>
          </cell>
          <cell r="C112">
            <v>1</v>
          </cell>
          <cell r="D112" t="str">
            <v>CABINET CFA</v>
          </cell>
          <cell r="F112">
            <v>2250767131993</v>
          </cell>
          <cell r="G112" t="str">
            <v>CGA</v>
          </cell>
        </row>
        <row r="113">
          <cell r="A113">
            <v>113</v>
          </cell>
          <cell r="B113">
            <v>113</v>
          </cell>
          <cell r="C113">
            <v>1</v>
          </cell>
          <cell r="D113" t="str">
            <v>CABINET CFA</v>
          </cell>
          <cell r="F113">
            <v>2250767131993</v>
          </cell>
          <cell r="G113" t="str">
            <v>CGA</v>
          </cell>
        </row>
        <row r="114">
          <cell r="A114">
            <v>114</v>
          </cell>
          <cell r="B114">
            <v>114</v>
          </cell>
          <cell r="C114">
            <v>1</v>
          </cell>
          <cell r="D114" t="str">
            <v>CABINET CFA</v>
          </cell>
          <cell r="F114">
            <v>2250767131993</v>
          </cell>
          <cell r="G114" t="str">
            <v>CGA</v>
          </cell>
        </row>
        <row r="115">
          <cell r="A115">
            <v>115</v>
          </cell>
          <cell r="B115">
            <v>115</v>
          </cell>
          <cell r="C115">
            <v>1</v>
          </cell>
          <cell r="D115" t="str">
            <v>KODJO KOFFI</v>
          </cell>
          <cell r="F115">
            <v>2250767131993</v>
          </cell>
          <cell r="G115" t="str">
            <v>CGA</v>
          </cell>
        </row>
        <row r="116">
          <cell r="A116">
            <v>116</v>
          </cell>
          <cell r="B116">
            <v>116</v>
          </cell>
          <cell r="C116">
            <v>1</v>
          </cell>
          <cell r="D116" t="str">
            <v>KODJO KOFFI</v>
          </cell>
          <cell r="F116">
            <v>2250767131993</v>
          </cell>
          <cell r="G116" t="str">
            <v>CGA</v>
          </cell>
        </row>
        <row r="117">
          <cell r="A117">
            <v>117</v>
          </cell>
          <cell r="B117">
            <v>117</v>
          </cell>
          <cell r="C117">
            <v>1</v>
          </cell>
          <cell r="D117" t="str">
            <v>CABINET CFA</v>
          </cell>
          <cell r="F117">
            <v>2250767131993</v>
          </cell>
          <cell r="G117" t="str">
            <v>CGA</v>
          </cell>
        </row>
        <row r="118">
          <cell r="A118">
            <v>118</v>
          </cell>
          <cell r="B118">
            <v>118</v>
          </cell>
          <cell r="C118">
            <v>1</v>
          </cell>
          <cell r="D118" t="str">
            <v>CABINET CFA</v>
          </cell>
          <cell r="F118">
            <v>2250767131993</v>
          </cell>
          <cell r="G118" t="str">
            <v>CGA</v>
          </cell>
        </row>
        <row r="119">
          <cell r="A119">
            <v>119</v>
          </cell>
          <cell r="B119">
            <v>119</v>
          </cell>
          <cell r="C119">
            <v>1</v>
          </cell>
          <cell r="D119" t="str">
            <v>CABINET CFA</v>
          </cell>
          <cell r="F119">
            <v>2250767131993</v>
          </cell>
          <cell r="G119" t="str">
            <v>CGA</v>
          </cell>
        </row>
        <row r="120">
          <cell r="A120">
            <v>120</v>
          </cell>
          <cell r="B120">
            <v>120</v>
          </cell>
          <cell r="C120">
            <v>1</v>
          </cell>
          <cell r="D120" t="str">
            <v>CABINET CFA</v>
          </cell>
          <cell r="F120">
            <v>2250767131993</v>
          </cell>
          <cell r="G120" t="str">
            <v>CGA</v>
          </cell>
        </row>
        <row r="121">
          <cell r="A121">
            <v>121</v>
          </cell>
          <cell r="B121">
            <v>121</v>
          </cell>
          <cell r="C121">
            <v>1</v>
          </cell>
          <cell r="D121" t="str">
            <v>CABINET CFA</v>
          </cell>
          <cell r="F121">
            <v>2250767131993</v>
          </cell>
          <cell r="G121" t="str">
            <v>CGA</v>
          </cell>
        </row>
        <row r="122">
          <cell r="A122">
            <v>122</v>
          </cell>
          <cell r="B122">
            <v>122</v>
          </cell>
          <cell r="C122">
            <v>1</v>
          </cell>
          <cell r="D122" t="str">
            <v>CABINET CFA</v>
          </cell>
          <cell r="F122">
            <v>2250767131993</v>
          </cell>
          <cell r="G122" t="str">
            <v>CGA</v>
          </cell>
        </row>
        <row r="123">
          <cell r="A123">
            <v>123</v>
          </cell>
          <cell r="B123">
            <v>123</v>
          </cell>
          <cell r="C123">
            <v>1</v>
          </cell>
          <cell r="D123" t="str">
            <v>KODJO KOFFI</v>
          </cell>
          <cell r="F123">
            <v>2250767131993</v>
          </cell>
          <cell r="G123" t="str">
            <v>CGA</v>
          </cell>
        </row>
        <row r="124">
          <cell r="A124">
            <v>124</v>
          </cell>
          <cell r="B124">
            <v>124</v>
          </cell>
          <cell r="C124">
            <v>1</v>
          </cell>
          <cell r="D124" t="str">
            <v>CABINET CFA</v>
          </cell>
          <cell r="F124">
            <v>2250767131993</v>
          </cell>
          <cell r="G124" t="str">
            <v>CGA</v>
          </cell>
        </row>
        <row r="125">
          <cell r="A125">
            <v>125</v>
          </cell>
          <cell r="B125">
            <v>125</v>
          </cell>
          <cell r="C125">
            <v>1</v>
          </cell>
          <cell r="D125" t="str">
            <v>CABINET CFA</v>
          </cell>
          <cell r="F125">
            <v>2250767131993</v>
          </cell>
          <cell r="G125" t="str">
            <v>CGA</v>
          </cell>
        </row>
        <row r="126">
          <cell r="A126">
            <v>126</v>
          </cell>
          <cell r="B126">
            <v>126</v>
          </cell>
          <cell r="C126">
            <v>1</v>
          </cell>
          <cell r="D126" t="str">
            <v>CABINET CFA</v>
          </cell>
          <cell r="F126">
            <v>2250767131993</v>
          </cell>
          <cell r="G126" t="str">
            <v>CGA</v>
          </cell>
        </row>
        <row r="127">
          <cell r="A127">
            <v>127</v>
          </cell>
          <cell r="B127">
            <v>127</v>
          </cell>
          <cell r="C127">
            <v>1</v>
          </cell>
          <cell r="D127" t="str">
            <v>CABINET CFA</v>
          </cell>
          <cell r="F127">
            <v>2250767131993</v>
          </cell>
          <cell r="G127" t="str">
            <v>CGA</v>
          </cell>
        </row>
        <row r="128">
          <cell r="A128">
            <v>128</v>
          </cell>
          <cell r="B128">
            <v>128</v>
          </cell>
          <cell r="C128">
            <v>1</v>
          </cell>
          <cell r="D128" t="str">
            <v>CABINET CFA</v>
          </cell>
          <cell r="F128">
            <v>2250767131993</v>
          </cell>
          <cell r="G128" t="str">
            <v>CGA</v>
          </cell>
        </row>
        <row r="129">
          <cell r="A129">
            <v>129</v>
          </cell>
          <cell r="B129">
            <v>129</v>
          </cell>
          <cell r="C129">
            <v>1</v>
          </cell>
          <cell r="D129" t="str">
            <v>KODJO KOFFI</v>
          </cell>
          <cell r="F129">
            <v>2250767131993</v>
          </cell>
          <cell r="G129" t="str">
            <v>CGA</v>
          </cell>
        </row>
        <row r="130">
          <cell r="A130">
            <v>130</v>
          </cell>
          <cell r="B130">
            <v>130</v>
          </cell>
          <cell r="C130">
            <v>1</v>
          </cell>
          <cell r="D130" t="str">
            <v>CABINET CFA</v>
          </cell>
          <cell r="F130">
            <v>2250767131993</v>
          </cell>
          <cell r="G130" t="str">
            <v>CGA</v>
          </cell>
        </row>
        <row r="131">
          <cell r="A131">
            <v>131</v>
          </cell>
          <cell r="B131">
            <v>131</v>
          </cell>
          <cell r="C131">
            <v>1</v>
          </cell>
          <cell r="D131" t="str">
            <v>CABINET CFA</v>
          </cell>
          <cell r="F131">
            <v>2250767131993</v>
          </cell>
          <cell r="G131" t="str">
            <v>CGA</v>
          </cell>
        </row>
        <row r="132">
          <cell r="A132">
            <v>132</v>
          </cell>
          <cell r="B132">
            <v>132</v>
          </cell>
          <cell r="C132">
            <v>1</v>
          </cell>
          <cell r="D132" t="str">
            <v>CABINET CFA</v>
          </cell>
          <cell r="F132">
            <v>2250767131993</v>
          </cell>
          <cell r="G132" t="str">
            <v>CGA</v>
          </cell>
        </row>
        <row r="133">
          <cell r="A133">
            <v>133</v>
          </cell>
          <cell r="B133">
            <v>133</v>
          </cell>
          <cell r="C133">
            <v>1</v>
          </cell>
          <cell r="D133" t="str">
            <v>CABINET CFA</v>
          </cell>
          <cell r="F133">
            <v>2250767131993</v>
          </cell>
          <cell r="G133" t="str">
            <v>CGA</v>
          </cell>
        </row>
        <row r="134">
          <cell r="A134">
            <v>134</v>
          </cell>
          <cell r="B134">
            <v>134</v>
          </cell>
          <cell r="C134">
            <v>1</v>
          </cell>
          <cell r="D134" t="str">
            <v>CABINET CFA</v>
          </cell>
          <cell r="F134">
            <v>2250767131993</v>
          </cell>
          <cell r="G134" t="str">
            <v>CGA</v>
          </cell>
        </row>
        <row r="135">
          <cell r="A135">
            <v>135</v>
          </cell>
          <cell r="B135">
            <v>135</v>
          </cell>
          <cell r="C135">
            <v>1</v>
          </cell>
          <cell r="D135" t="str">
            <v>CABINET CFA</v>
          </cell>
          <cell r="F135">
            <v>2250767131993</v>
          </cell>
          <cell r="G135" t="str">
            <v>CGA</v>
          </cell>
        </row>
        <row r="136">
          <cell r="A136">
            <v>136</v>
          </cell>
          <cell r="B136">
            <v>136</v>
          </cell>
          <cell r="C136">
            <v>1</v>
          </cell>
          <cell r="D136" t="str">
            <v>CABINET CFA</v>
          </cell>
          <cell r="F136">
            <v>2250767131993</v>
          </cell>
          <cell r="G136" t="str">
            <v>CGA</v>
          </cell>
        </row>
        <row r="137">
          <cell r="A137">
            <v>137</v>
          </cell>
          <cell r="B137">
            <v>137</v>
          </cell>
          <cell r="C137">
            <v>1</v>
          </cell>
          <cell r="D137" t="str">
            <v>CABINET CFA</v>
          </cell>
          <cell r="F137">
            <v>2250767131993</v>
          </cell>
          <cell r="G137" t="str">
            <v>CGA</v>
          </cell>
        </row>
        <row r="138">
          <cell r="A138">
            <v>138</v>
          </cell>
          <cell r="B138">
            <v>138</v>
          </cell>
          <cell r="C138">
            <v>1</v>
          </cell>
          <cell r="D138" t="str">
            <v>CABINET CFA</v>
          </cell>
          <cell r="F138">
            <v>2250767131993</v>
          </cell>
          <cell r="G138" t="str">
            <v>CGA</v>
          </cell>
        </row>
        <row r="139">
          <cell r="A139">
            <v>139</v>
          </cell>
          <cell r="B139">
            <v>139</v>
          </cell>
          <cell r="C139">
            <v>1</v>
          </cell>
          <cell r="D139" t="str">
            <v>CABINET CFA</v>
          </cell>
          <cell r="F139">
            <v>2250767131993</v>
          </cell>
          <cell r="G139" t="str">
            <v>CGA</v>
          </cell>
        </row>
        <row r="140">
          <cell r="A140">
            <v>140</v>
          </cell>
          <cell r="B140">
            <v>140</v>
          </cell>
          <cell r="C140">
            <v>1</v>
          </cell>
          <cell r="D140" t="str">
            <v>CABINET CFA</v>
          </cell>
          <cell r="F140">
            <v>2250767131993</v>
          </cell>
          <cell r="G140" t="str">
            <v>CGA</v>
          </cell>
        </row>
        <row r="141">
          <cell r="A141">
            <v>141</v>
          </cell>
          <cell r="B141">
            <v>141</v>
          </cell>
          <cell r="C141">
            <v>1</v>
          </cell>
          <cell r="D141" t="str">
            <v>CABINET CFA</v>
          </cell>
          <cell r="F141">
            <v>2250767131993</v>
          </cell>
          <cell r="G141" t="str">
            <v>CGA</v>
          </cell>
        </row>
        <row r="142">
          <cell r="A142">
            <v>142</v>
          </cell>
          <cell r="B142">
            <v>142</v>
          </cell>
          <cell r="C142">
            <v>1</v>
          </cell>
          <cell r="D142" t="str">
            <v>CABINET CFA</v>
          </cell>
          <cell r="F142">
            <v>2250767131993</v>
          </cell>
          <cell r="G142" t="str">
            <v>CGA</v>
          </cell>
        </row>
        <row r="143">
          <cell r="A143">
            <v>143</v>
          </cell>
          <cell r="B143">
            <v>143</v>
          </cell>
          <cell r="C143">
            <v>1</v>
          </cell>
          <cell r="D143" t="str">
            <v>CABINET CFA</v>
          </cell>
          <cell r="F143">
            <v>2250767131993</v>
          </cell>
          <cell r="G143" t="str">
            <v>CGA</v>
          </cell>
        </row>
        <row r="144">
          <cell r="A144">
            <v>144</v>
          </cell>
          <cell r="B144">
            <v>144</v>
          </cell>
          <cell r="C144">
            <v>1</v>
          </cell>
          <cell r="D144" t="str">
            <v>CABINET CFA</v>
          </cell>
          <cell r="F144">
            <v>2250767131993</v>
          </cell>
          <cell r="G144" t="str">
            <v>CGA</v>
          </cell>
        </row>
        <row r="145">
          <cell r="A145">
            <v>145</v>
          </cell>
          <cell r="B145">
            <v>145</v>
          </cell>
          <cell r="C145">
            <v>1</v>
          </cell>
          <cell r="D145" t="str">
            <v>CABINET CFA</v>
          </cell>
          <cell r="F145">
            <v>2250767131993</v>
          </cell>
          <cell r="G145" t="str">
            <v>CGA</v>
          </cell>
        </row>
        <row r="146">
          <cell r="A146">
            <v>146</v>
          </cell>
          <cell r="B146">
            <v>146</v>
          </cell>
          <cell r="C146">
            <v>1</v>
          </cell>
          <cell r="D146" t="str">
            <v>CABINET CFA</v>
          </cell>
          <cell r="F146">
            <v>2250767131993</v>
          </cell>
          <cell r="G146" t="str">
            <v>CGA</v>
          </cell>
        </row>
        <row r="147">
          <cell r="A147">
            <v>147</v>
          </cell>
          <cell r="B147">
            <v>147</v>
          </cell>
          <cell r="C147">
            <v>1</v>
          </cell>
          <cell r="D147" t="str">
            <v>CABINET CFA</v>
          </cell>
          <cell r="F147">
            <v>2250767131993</v>
          </cell>
          <cell r="G147" t="str">
            <v>CGA</v>
          </cell>
        </row>
        <row r="148">
          <cell r="A148">
            <v>148</v>
          </cell>
          <cell r="B148">
            <v>148</v>
          </cell>
          <cell r="C148">
            <v>1</v>
          </cell>
          <cell r="D148" t="str">
            <v>CABINET CFA</v>
          </cell>
          <cell r="F148">
            <v>2250767131993</v>
          </cell>
          <cell r="G148" t="str">
            <v>CGA</v>
          </cell>
        </row>
        <row r="149">
          <cell r="A149">
            <v>149</v>
          </cell>
          <cell r="B149">
            <v>149</v>
          </cell>
          <cell r="C149">
            <v>1</v>
          </cell>
          <cell r="D149" t="str">
            <v>CABINET CFA</v>
          </cell>
          <cell r="F149">
            <v>2250767131993</v>
          </cell>
          <cell r="G149" t="str">
            <v>CGA</v>
          </cell>
        </row>
        <row r="150">
          <cell r="A150">
            <v>150</v>
          </cell>
          <cell r="B150">
            <v>150</v>
          </cell>
          <cell r="C150">
            <v>1</v>
          </cell>
          <cell r="D150" t="str">
            <v>CABINET CFA</v>
          </cell>
          <cell r="F150">
            <v>2250767131993</v>
          </cell>
          <cell r="G150" t="str">
            <v>CGA</v>
          </cell>
        </row>
        <row r="151">
          <cell r="A151">
            <v>151</v>
          </cell>
          <cell r="B151">
            <v>151</v>
          </cell>
          <cell r="C151">
            <v>1</v>
          </cell>
          <cell r="D151" t="str">
            <v>CABINET CFA</v>
          </cell>
          <cell r="F151">
            <v>2250767131993</v>
          </cell>
          <cell r="G151" t="str">
            <v>CGA</v>
          </cell>
        </row>
        <row r="152">
          <cell r="A152">
            <v>152</v>
          </cell>
          <cell r="B152">
            <v>152</v>
          </cell>
          <cell r="C152">
            <v>1</v>
          </cell>
          <cell r="D152" t="str">
            <v>CABINET CFA</v>
          </cell>
          <cell r="F152">
            <v>2250767131993</v>
          </cell>
          <cell r="G152" t="str">
            <v>CGA</v>
          </cell>
        </row>
        <row r="153">
          <cell r="A153">
            <v>153</v>
          </cell>
          <cell r="B153">
            <v>153</v>
          </cell>
          <cell r="C153">
            <v>1</v>
          </cell>
          <cell r="D153" t="str">
            <v>CABINET CFA</v>
          </cell>
          <cell r="F153">
            <v>2250767131993</v>
          </cell>
          <cell r="G153" t="str">
            <v>CGA</v>
          </cell>
        </row>
        <row r="154">
          <cell r="A154">
            <v>154</v>
          </cell>
          <cell r="B154">
            <v>154</v>
          </cell>
          <cell r="C154">
            <v>1</v>
          </cell>
          <cell r="D154" t="str">
            <v>CABINET CFA</v>
          </cell>
          <cell r="F154">
            <v>2250767131993</v>
          </cell>
          <cell r="G154" t="str">
            <v>CGA</v>
          </cell>
        </row>
        <row r="155">
          <cell r="A155">
            <v>155</v>
          </cell>
          <cell r="B155">
            <v>155</v>
          </cell>
          <cell r="C155">
            <v>1</v>
          </cell>
          <cell r="D155" t="str">
            <v>CABINET CFA</v>
          </cell>
          <cell r="F155">
            <v>2250767131993</v>
          </cell>
          <cell r="G155" t="str">
            <v>CGA</v>
          </cell>
        </row>
        <row r="156">
          <cell r="A156">
            <v>156</v>
          </cell>
          <cell r="B156">
            <v>156</v>
          </cell>
          <cell r="C156">
            <v>1</v>
          </cell>
          <cell r="D156" t="str">
            <v>ZADI</v>
          </cell>
          <cell r="F156">
            <v>2250767131993</v>
          </cell>
          <cell r="G156" t="str">
            <v>CGA</v>
          </cell>
        </row>
        <row r="157">
          <cell r="A157">
            <v>157</v>
          </cell>
          <cell r="B157">
            <v>157</v>
          </cell>
          <cell r="C157">
            <v>1</v>
          </cell>
          <cell r="D157" t="str">
            <v>ZADI</v>
          </cell>
          <cell r="F157">
            <v>2250767131993</v>
          </cell>
          <cell r="G157" t="str">
            <v>CGA</v>
          </cell>
        </row>
        <row r="158">
          <cell r="A158">
            <v>158</v>
          </cell>
          <cell r="B158">
            <v>158</v>
          </cell>
          <cell r="C158">
            <v>1</v>
          </cell>
          <cell r="D158" t="str">
            <v>ZADI</v>
          </cell>
          <cell r="F158">
            <v>2250767131993</v>
          </cell>
          <cell r="G158" t="str">
            <v>CGA</v>
          </cell>
        </row>
        <row r="159">
          <cell r="A159">
            <v>159</v>
          </cell>
          <cell r="B159">
            <v>159</v>
          </cell>
          <cell r="C159">
            <v>1</v>
          </cell>
          <cell r="D159" t="str">
            <v>ZADI</v>
          </cell>
          <cell r="F159">
            <v>2250767131993</v>
          </cell>
          <cell r="G159" t="str">
            <v>CGA</v>
          </cell>
        </row>
        <row r="160">
          <cell r="A160">
            <v>160</v>
          </cell>
          <cell r="B160">
            <v>160</v>
          </cell>
          <cell r="C160">
            <v>1</v>
          </cell>
          <cell r="D160" t="str">
            <v>ZADI</v>
          </cell>
          <cell r="F160">
            <v>2250767131993</v>
          </cell>
          <cell r="G160" t="str">
            <v>CGA</v>
          </cell>
        </row>
        <row r="161">
          <cell r="A161">
            <v>161</v>
          </cell>
          <cell r="B161">
            <v>161</v>
          </cell>
          <cell r="C161">
            <v>1</v>
          </cell>
          <cell r="D161" t="str">
            <v>ZADI</v>
          </cell>
          <cell r="F161">
            <v>2250767131993</v>
          </cell>
          <cell r="G161" t="str">
            <v>CGA</v>
          </cell>
        </row>
        <row r="162">
          <cell r="A162">
            <v>162</v>
          </cell>
          <cell r="B162">
            <v>162</v>
          </cell>
          <cell r="C162">
            <v>1</v>
          </cell>
          <cell r="D162" t="str">
            <v>ZADI</v>
          </cell>
          <cell r="F162">
            <v>2250767131993</v>
          </cell>
          <cell r="G162" t="str">
            <v>CGA</v>
          </cell>
        </row>
        <row r="163">
          <cell r="A163">
            <v>163</v>
          </cell>
          <cell r="B163">
            <v>163</v>
          </cell>
          <cell r="C163">
            <v>1</v>
          </cell>
          <cell r="D163" t="str">
            <v>ZADI</v>
          </cell>
          <cell r="F163">
            <v>2250767131993</v>
          </cell>
          <cell r="G163" t="str">
            <v>CGA</v>
          </cell>
        </row>
        <row r="164">
          <cell r="A164">
            <v>164</v>
          </cell>
          <cell r="B164">
            <v>164</v>
          </cell>
          <cell r="C164">
            <v>1</v>
          </cell>
          <cell r="D164" t="str">
            <v>ZADI</v>
          </cell>
          <cell r="F164">
            <v>2250767131993</v>
          </cell>
          <cell r="G164" t="str">
            <v>CGA</v>
          </cell>
        </row>
        <row r="165">
          <cell r="A165">
            <v>165</v>
          </cell>
          <cell r="B165">
            <v>165</v>
          </cell>
          <cell r="C165">
            <v>1</v>
          </cell>
          <cell r="D165" t="str">
            <v>ZADI</v>
          </cell>
          <cell r="F165">
            <v>2250767131993</v>
          </cell>
          <cell r="G165" t="str">
            <v>CGA</v>
          </cell>
        </row>
        <row r="166">
          <cell r="A166">
            <v>166</v>
          </cell>
          <cell r="B166">
            <v>166</v>
          </cell>
          <cell r="C166">
            <v>1</v>
          </cell>
          <cell r="D166" t="str">
            <v>ZADI</v>
          </cell>
          <cell r="F166">
            <v>2250767131993</v>
          </cell>
          <cell r="G166" t="str">
            <v>CGA</v>
          </cell>
        </row>
        <row r="167">
          <cell r="A167">
            <v>167</v>
          </cell>
          <cell r="B167">
            <v>167</v>
          </cell>
          <cell r="C167">
            <v>1</v>
          </cell>
          <cell r="D167" t="str">
            <v>ZADI</v>
          </cell>
          <cell r="F167">
            <v>2250767131993</v>
          </cell>
          <cell r="G167" t="str">
            <v>CGA</v>
          </cell>
        </row>
        <row r="168">
          <cell r="A168">
            <v>168</v>
          </cell>
          <cell r="B168">
            <v>168</v>
          </cell>
          <cell r="C168">
            <v>1</v>
          </cell>
          <cell r="D168" t="str">
            <v>ZADI</v>
          </cell>
          <cell r="F168">
            <v>2250767131993</v>
          </cell>
          <cell r="G168" t="str">
            <v>CGA</v>
          </cell>
        </row>
        <row r="169">
          <cell r="A169">
            <v>169</v>
          </cell>
          <cell r="B169">
            <v>169</v>
          </cell>
          <cell r="C169">
            <v>1</v>
          </cell>
          <cell r="D169" t="str">
            <v>ZADI</v>
          </cell>
          <cell r="F169">
            <v>2250767131993</v>
          </cell>
          <cell r="G169" t="str">
            <v>CGA</v>
          </cell>
        </row>
        <row r="170">
          <cell r="A170">
            <v>170</v>
          </cell>
          <cell r="B170">
            <v>170</v>
          </cell>
          <cell r="C170">
            <v>1</v>
          </cell>
          <cell r="D170" t="str">
            <v>ZADI</v>
          </cell>
          <cell r="F170">
            <v>2250767131993</v>
          </cell>
          <cell r="G170" t="str">
            <v>CGA</v>
          </cell>
        </row>
        <row r="171">
          <cell r="A171">
            <v>171</v>
          </cell>
          <cell r="B171">
            <v>171</v>
          </cell>
          <cell r="C171">
            <v>1</v>
          </cell>
          <cell r="D171" t="str">
            <v>ZADI</v>
          </cell>
          <cell r="F171">
            <v>2250767131993</v>
          </cell>
          <cell r="G171" t="str">
            <v>CGA</v>
          </cell>
        </row>
        <row r="172">
          <cell r="A172">
            <v>172</v>
          </cell>
          <cell r="B172">
            <v>172</v>
          </cell>
          <cell r="C172">
            <v>1</v>
          </cell>
          <cell r="D172" t="str">
            <v>ZADI</v>
          </cell>
          <cell r="F172">
            <v>2250767131993</v>
          </cell>
          <cell r="G172" t="str">
            <v>CGA</v>
          </cell>
        </row>
        <row r="173">
          <cell r="A173">
            <v>173</v>
          </cell>
          <cell r="B173">
            <v>173</v>
          </cell>
          <cell r="C173">
            <v>1</v>
          </cell>
          <cell r="D173" t="str">
            <v>ZADI</v>
          </cell>
          <cell r="F173">
            <v>2250767131993</v>
          </cell>
          <cell r="G173" t="str">
            <v>CGA</v>
          </cell>
        </row>
        <row r="174">
          <cell r="A174">
            <v>174</v>
          </cell>
          <cell r="B174">
            <v>174</v>
          </cell>
          <cell r="C174">
            <v>1</v>
          </cell>
          <cell r="D174" t="str">
            <v>ZADI</v>
          </cell>
          <cell r="F174">
            <v>2250767131993</v>
          </cell>
          <cell r="G174" t="str">
            <v>CGA</v>
          </cell>
        </row>
        <row r="175">
          <cell r="A175">
            <v>175</v>
          </cell>
          <cell r="B175">
            <v>175</v>
          </cell>
          <cell r="C175">
            <v>1</v>
          </cell>
          <cell r="D175" t="str">
            <v>PAUL</v>
          </cell>
          <cell r="F175">
            <v>2250767131993</v>
          </cell>
          <cell r="G175" t="str">
            <v>CGA</v>
          </cell>
        </row>
        <row r="176">
          <cell r="A176">
            <v>176</v>
          </cell>
          <cell r="B176">
            <v>176</v>
          </cell>
          <cell r="C176">
            <v>1</v>
          </cell>
          <cell r="D176" t="str">
            <v>PAUL</v>
          </cell>
          <cell r="F176">
            <v>2250767131993</v>
          </cell>
          <cell r="G176" t="str">
            <v>CGA</v>
          </cell>
        </row>
        <row r="177">
          <cell r="A177">
            <v>177</v>
          </cell>
          <cell r="B177">
            <v>177</v>
          </cell>
          <cell r="C177">
            <v>1</v>
          </cell>
          <cell r="D177" t="str">
            <v>PAUL</v>
          </cell>
          <cell r="F177">
            <v>2250767131993</v>
          </cell>
          <cell r="G177" t="str">
            <v>CGA</v>
          </cell>
        </row>
        <row r="178">
          <cell r="A178">
            <v>178</v>
          </cell>
          <cell r="B178">
            <v>178</v>
          </cell>
          <cell r="C178">
            <v>1</v>
          </cell>
          <cell r="D178" t="str">
            <v>CABINET CFA</v>
          </cell>
          <cell r="F178">
            <v>2250767131993</v>
          </cell>
          <cell r="G178" t="str">
            <v>CGA</v>
          </cell>
        </row>
        <row r="179">
          <cell r="A179">
            <v>179</v>
          </cell>
          <cell r="B179">
            <v>179</v>
          </cell>
          <cell r="C179">
            <v>1</v>
          </cell>
          <cell r="D179" t="str">
            <v>ZADI</v>
          </cell>
          <cell r="F179">
            <v>2250767131993</v>
          </cell>
          <cell r="G179" t="str">
            <v>CGA</v>
          </cell>
        </row>
        <row r="180">
          <cell r="A180">
            <v>180</v>
          </cell>
          <cell r="B180">
            <v>180</v>
          </cell>
          <cell r="C180">
            <v>1</v>
          </cell>
          <cell r="D180" t="str">
            <v>CABINET CFA</v>
          </cell>
          <cell r="F180">
            <v>2250767131993</v>
          </cell>
          <cell r="G180" t="str">
            <v>CGA</v>
          </cell>
        </row>
        <row r="181">
          <cell r="A181">
            <v>181</v>
          </cell>
          <cell r="B181">
            <v>181</v>
          </cell>
          <cell r="C181">
            <v>1</v>
          </cell>
          <cell r="D181" t="str">
            <v>CABINET CFA</v>
          </cell>
          <cell r="F181">
            <v>2250767131993</v>
          </cell>
          <cell r="G181" t="str">
            <v>CGA</v>
          </cell>
        </row>
        <row r="182">
          <cell r="A182">
            <v>182</v>
          </cell>
          <cell r="B182">
            <v>182</v>
          </cell>
          <cell r="C182">
            <v>1</v>
          </cell>
          <cell r="D182" t="str">
            <v>KOFFI ALBERT</v>
          </cell>
          <cell r="F182">
            <v>2250767131993</v>
          </cell>
          <cell r="G182" t="str">
            <v>CGA</v>
          </cell>
        </row>
        <row r="183">
          <cell r="A183">
            <v>183</v>
          </cell>
          <cell r="B183">
            <v>183</v>
          </cell>
          <cell r="C183">
            <v>1</v>
          </cell>
          <cell r="D183" t="str">
            <v>KODJO KOFFI</v>
          </cell>
          <cell r="F183">
            <v>2250767131993</v>
          </cell>
          <cell r="G183" t="str">
            <v>CGA</v>
          </cell>
        </row>
        <row r="184">
          <cell r="A184">
            <v>184</v>
          </cell>
          <cell r="B184">
            <v>184</v>
          </cell>
          <cell r="C184">
            <v>1</v>
          </cell>
          <cell r="D184" t="str">
            <v>KODJO KOFFI</v>
          </cell>
          <cell r="F184">
            <v>2250767131993</v>
          </cell>
          <cell r="G184" t="str">
            <v>CGA</v>
          </cell>
        </row>
        <row r="185">
          <cell r="A185">
            <v>185</v>
          </cell>
          <cell r="B185">
            <v>185</v>
          </cell>
          <cell r="C185">
            <v>1</v>
          </cell>
          <cell r="D185" t="str">
            <v>KODJO KOFFI</v>
          </cell>
          <cell r="F185">
            <v>2250767131993</v>
          </cell>
          <cell r="G185" t="str">
            <v>CGA</v>
          </cell>
        </row>
        <row r="186">
          <cell r="A186">
            <v>186</v>
          </cell>
          <cell r="B186">
            <v>186</v>
          </cell>
          <cell r="C186">
            <v>1</v>
          </cell>
          <cell r="D186" t="str">
            <v>KODJO KOFFI</v>
          </cell>
          <cell r="F186">
            <v>2250767131993</v>
          </cell>
          <cell r="G186" t="str">
            <v>CGA</v>
          </cell>
        </row>
        <row r="187">
          <cell r="A187">
            <v>187</v>
          </cell>
          <cell r="B187">
            <v>187</v>
          </cell>
          <cell r="C187">
            <v>1</v>
          </cell>
          <cell r="D187" t="str">
            <v>KODJO KOFFI</v>
          </cell>
          <cell r="F187">
            <v>2250767131993</v>
          </cell>
          <cell r="G187" t="str">
            <v>CGA</v>
          </cell>
        </row>
        <row r="188">
          <cell r="A188">
            <v>188</v>
          </cell>
          <cell r="B188">
            <v>188</v>
          </cell>
          <cell r="C188">
            <v>1</v>
          </cell>
          <cell r="D188" t="str">
            <v>DCK</v>
          </cell>
          <cell r="F188">
            <v>2250767131993</v>
          </cell>
          <cell r="G188" t="str">
            <v>CABINET</v>
          </cell>
        </row>
        <row r="189">
          <cell r="A189">
            <v>189</v>
          </cell>
          <cell r="B189">
            <v>189</v>
          </cell>
          <cell r="C189">
            <v>1</v>
          </cell>
          <cell r="D189" t="str">
            <v>DCK</v>
          </cell>
          <cell r="F189">
            <v>2250767131993</v>
          </cell>
          <cell r="G189" t="str">
            <v>CABINET</v>
          </cell>
        </row>
        <row r="190">
          <cell r="A190">
            <v>190</v>
          </cell>
          <cell r="B190">
            <v>190</v>
          </cell>
          <cell r="C190">
            <v>1</v>
          </cell>
          <cell r="D190" t="str">
            <v>DCK</v>
          </cell>
          <cell r="F190">
            <v>2250767131993</v>
          </cell>
          <cell r="G190" t="str">
            <v>CABINET</v>
          </cell>
        </row>
        <row r="191">
          <cell r="A191">
            <v>191</v>
          </cell>
          <cell r="B191">
            <v>191</v>
          </cell>
          <cell r="C191">
            <v>1</v>
          </cell>
          <cell r="D191" t="str">
            <v>DCK</v>
          </cell>
          <cell r="F191">
            <v>2250767131993</v>
          </cell>
          <cell r="G191" t="str">
            <v>CABINET</v>
          </cell>
        </row>
        <row r="192">
          <cell r="A192">
            <v>192</v>
          </cell>
          <cell r="B192">
            <v>192</v>
          </cell>
          <cell r="C192">
            <v>1</v>
          </cell>
          <cell r="D192" t="str">
            <v>DCK</v>
          </cell>
          <cell r="F192">
            <v>2250767131993</v>
          </cell>
          <cell r="G192" t="str">
            <v>CABINET</v>
          </cell>
        </row>
        <row r="193">
          <cell r="A193">
            <v>193</v>
          </cell>
          <cell r="B193">
            <v>193</v>
          </cell>
          <cell r="C193">
            <v>1</v>
          </cell>
          <cell r="D193" t="str">
            <v>DCK</v>
          </cell>
          <cell r="F193">
            <v>2250767131993</v>
          </cell>
          <cell r="G193" t="str">
            <v>CABINET</v>
          </cell>
        </row>
        <row r="194">
          <cell r="A194">
            <v>194</v>
          </cell>
          <cell r="B194">
            <v>194</v>
          </cell>
          <cell r="C194">
            <v>1</v>
          </cell>
          <cell r="D194" t="str">
            <v>DCK</v>
          </cell>
          <cell r="F194">
            <v>2250767131993</v>
          </cell>
          <cell r="G194" t="str">
            <v>CABINET</v>
          </cell>
        </row>
        <row r="195">
          <cell r="A195">
            <v>195</v>
          </cell>
          <cell r="B195">
            <v>195</v>
          </cell>
          <cell r="C195">
            <v>1</v>
          </cell>
          <cell r="D195" t="str">
            <v>DCK</v>
          </cell>
          <cell r="F195">
            <v>2250767131993</v>
          </cell>
          <cell r="G195" t="str">
            <v>CABINET</v>
          </cell>
        </row>
        <row r="196">
          <cell r="A196">
            <v>196</v>
          </cell>
          <cell r="B196">
            <v>196</v>
          </cell>
          <cell r="C196">
            <v>1</v>
          </cell>
          <cell r="D196" t="str">
            <v>DCK</v>
          </cell>
          <cell r="F196">
            <v>2250767131993</v>
          </cell>
          <cell r="G196" t="str">
            <v>CABINET</v>
          </cell>
        </row>
        <row r="197">
          <cell r="A197">
            <v>197</v>
          </cell>
          <cell r="B197">
            <v>197</v>
          </cell>
          <cell r="C197">
            <v>1</v>
          </cell>
          <cell r="D197" t="str">
            <v>DCK</v>
          </cell>
          <cell r="F197">
            <v>2250767131993</v>
          </cell>
          <cell r="G197" t="str">
            <v>CABINET</v>
          </cell>
        </row>
        <row r="198">
          <cell r="A198">
            <v>198</v>
          </cell>
          <cell r="B198">
            <v>198</v>
          </cell>
          <cell r="C198">
            <v>1</v>
          </cell>
          <cell r="D198" t="str">
            <v>DCK</v>
          </cell>
          <cell r="F198">
            <v>2250767131993</v>
          </cell>
          <cell r="G198" t="str">
            <v>CABINET</v>
          </cell>
        </row>
        <row r="199">
          <cell r="A199">
            <v>199</v>
          </cell>
          <cell r="B199">
            <v>199</v>
          </cell>
          <cell r="C199">
            <v>1</v>
          </cell>
          <cell r="D199" t="str">
            <v>DCK</v>
          </cell>
          <cell r="F199">
            <v>2250767131993</v>
          </cell>
          <cell r="G199" t="str">
            <v>CABINET</v>
          </cell>
        </row>
        <row r="200">
          <cell r="A200">
            <v>207</v>
          </cell>
          <cell r="B200">
            <v>200</v>
          </cell>
          <cell r="C200">
            <v>1</v>
          </cell>
          <cell r="D200" t="str">
            <v>Abdoulaye</v>
          </cell>
          <cell r="E200" t="str">
            <v>BAKAYOKO</v>
          </cell>
          <cell r="F200" t="str">
            <v>+225 07 09 39 74 72</v>
          </cell>
          <cell r="G200" t="str">
            <v>DG</v>
          </cell>
        </row>
        <row r="201">
          <cell r="A201">
            <v>208</v>
          </cell>
          <cell r="B201">
            <v>201</v>
          </cell>
          <cell r="C201">
            <v>1</v>
          </cell>
          <cell r="D201" t="str">
            <v>MARIAME</v>
          </cell>
          <cell r="E201" t="str">
            <v>KAMAGATE</v>
          </cell>
          <cell r="F201">
            <v>556628671</v>
          </cell>
        </row>
        <row r="202">
          <cell r="A202">
            <v>209</v>
          </cell>
          <cell r="B202">
            <v>202</v>
          </cell>
          <cell r="C202">
            <v>1</v>
          </cell>
          <cell r="D202" t="str">
            <v xml:space="preserve"> N'GOLO KASSOUM</v>
          </cell>
          <cell r="E202" t="str">
            <v>DAO</v>
          </cell>
          <cell r="F202">
            <v>556628671</v>
          </cell>
        </row>
        <row r="203">
          <cell r="A203">
            <v>0</v>
          </cell>
          <cell r="B203">
            <v>203</v>
          </cell>
          <cell r="C203">
            <v>1</v>
          </cell>
          <cell r="D203" t="str">
            <v>Sévérin</v>
          </cell>
          <cell r="E203" t="str">
            <v>Bilé</v>
          </cell>
          <cell r="F203" t="str">
            <v>+225 07 57 08 20 67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FC28-A6F8-4F05-BFEE-4F0F9BF08856}">
  <sheetPr codeName="Feuil1"/>
  <dimension ref="A1:P330"/>
  <sheetViews>
    <sheetView tabSelected="1" zoomScale="80" zoomScaleNormal="80" workbookViewId="0">
      <pane xSplit="1" ySplit="1" topLeftCell="J17" activePane="bottomRight" state="frozen"/>
      <selection pane="topRight" activeCell="B1" sqref="B1"/>
      <selection pane="bottomLeft" activeCell="A2" sqref="A2"/>
      <selection pane="bottomRight" activeCell="L33" sqref="L33"/>
    </sheetView>
  </sheetViews>
  <sheetFormatPr baseColWidth="10" defaultRowHeight="14.25"/>
  <cols>
    <col min="1" max="1" width="9.75" bestFit="1" customWidth="1"/>
    <col min="2" max="2" width="64.25" bestFit="1" customWidth="1"/>
    <col min="3" max="3" width="28.75" bestFit="1" customWidth="1"/>
    <col min="4" max="4" width="10.375" bestFit="1" customWidth="1"/>
    <col min="5" max="5" width="26.875" bestFit="1" customWidth="1"/>
    <col min="6" max="6" width="68.75" bestFit="1" customWidth="1"/>
    <col min="7" max="8" width="24" bestFit="1" customWidth="1"/>
    <col min="9" max="9" width="45.875" customWidth="1"/>
    <col min="10" max="10" width="22" bestFit="1" customWidth="1"/>
    <col min="11" max="11" width="23.875" bestFit="1" customWidth="1"/>
    <col min="12" max="12" width="14.75" bestFit="1" customWidth="1"/>
    <col min="13" max="13" width="7.375" bestFit="1" customWidth="1"/>
    <col min="14" max="14" width="8.125" bestFit="1" customWidth="1"/>
    <col min="15" max="15" width="9.125" bestFit="1" customWidth="1"/>
    <col min="16" max="16" width="10" bestFit="1" customWidth="1"/>
  </cols>
  <sheetData>
    <row r="1" spans="1:16">
      <c r="A1" t="s">
        <v>651</v>
      </c>
      <c r="B1" t="s">
        <v>652</v>
      </c>
      <c r="C1" t="s">
        <v>658</v>
      </c>
      <c r="D1" t="s">
        <v>653</v>
      </c>
      <c r="E1" t="s">
        <v>2073</v>
      </c>
      <c r="F1" t="s">
        <v>2074</v>
      </c>
      <c r="G1" t="s">
        <v>2076</v>
      </c>
      <c r="H1" t="s">
        <v>2077</v>
      </c>
      <c r="I1" t="s">
        <v>2075</v>
      </c>
      <c r="J1">
        <f>I268</f>
        <v>0</v>
      </c>
      <c r="K1" t="s">
        <v>2078</v>
      </c>
      <c r="L1" t="s">
        <v>2079</v>
      </c>
      <c r="M1" t="s">
        <v>666</v>
      </c>
      <c r="N1" t="s">
        <v>667</v>
      </c>
      <c r="O1" t="s">
        <v>669</v>
      </c>
      <c r="P1" t="s">
        <v>670</v>
      </c>
    </row>
    <row r="2" spans="1:16">
      <c r="A2" t="s">
        <v>0</v>
      </c>
      <c r="B2" t="s">
        <v>1</v>
      </c>
      <c r="C2" t="str">
        <f>VLOOKUP(A2,Feuil2!$A$1:$AA$298,4,0)</f>
        <v>CABINET CFA</v>
      </c>
      <c r="D2" s="1">
        <v>44224</v>
      </c>
      <c r="E2" t="str">
        <f>VLOOKUP('E-impôts'!A2,Feuil2!$A$1:$AA$298,8,0)</f>
        <v>DCK-CGA2021-Q165</v>
      </c>
      <c r="F2" t="str">
        <f>VLOOKUP('E-impôts'!A2,Feuil2!$A$1:$AA$298,24,0)</f>
        <v>COCODY CENTRE FACE INADES</v>
      </c>
      <c r="G2" t="str">
        <f>VLOOKUP('E-impôts'!A2,Feuil2!$A$1:$AA$298,11,0)</f>
        <v>TEE</v>
      </c>
      <c r="H2" t="str">
        <f>VLOOKUP('E-impôts'!A2,Feuil2!$A$1:$AA$298,10,0)</f>
        <v>SARL</v>
      </c>
      <c r="I2" t="str">
        <f>VLOOKUP('E-impôts'!A2,Feuil2!$A$1:$AA$298,5,0)</f>
        <v>NULL</v>
      </c>
      <c r="J2">
        <f>VLOOKUP('E-impôts'!A2,Feuil2!$A$1:$AA$298,19,0)</f>
        <v>708047428</v>
      </c>
      <c r="K2" t="str">
        <f>VLOOKUP('E-impôts'!A2,Feuil2!$A$1:$AA$298,9,0)</f>
        <v>NULL</v>
      </c>
      <c r="L2" t="str">
        <f>VLOOKUP('E-impôts'!A2,Feuil2!$A$1:$AA$298,15,0)</f>
        <v>Cocody</v>
      </c>
      <c r="M2" t="str">
        <f>VLOOKUP('E-impôts'!A2,Feuil2!$A$1:$AA$298,13,0)</f>
        <v>NULL</v>
      </c>
      <c r="N2" t="str">
        <f>VLOOKUP('E-impôts'!A2,Feuil2!$A$1:$AA$298,14,0)</f>
        <v>NULL</v>
      </c>
      <c r="O2" t="str">
        <f>VLOOKUP('E-impôts'!A2,Feuil2!$A$1:$AA$298,16,0)</f>
        <v>NULL</v>
      </c>
      <c r="P2" t="str">
        <f>VLOOKUP(A2,Feuil2!$A$1:$AA$298,17,0)</f>
        <v>NULL</v>
      </c>
    </row>
    <row r="3" spans="1:16">
      <c r="A3" t="s">
        <v>2</v>
      </c>
      <c r="B3" t="s">
        <v>3</v>
      </c>
      <c r="C3" t="e">
        <f>VLOOKUP(A3,Feuil2!$A$1:$AA$298,4,0)</f>
        <v>#N/A</v>
      </c>
      <c r="D3" s="1">
        <v>45322</v>
      </c>
      <c r="E3" t="str">
        <f>VLOOKUP('E-impôts'!A3,Feuil2!$A$1:$AA$298,8,0)</f>
        <v>DCK-CGA2024-A062</v>
      </c>
      <c r="F3" t="str">
        <f>VLOOKUP('E-impôts'!A3,Feuil2!$A$1:$AA$298,24,0)</f>
        <v>COCODY AKOUEDO, LAURIER 15</v>
      </c>
      <c r="G3" t="str">
        <f>VLOOKUP('E-impôts'!A3,Feuil2!$A$1:$AA$298,11,0)</f>
        <v>TEE</v>
      </c>
      <c r="H3" t="str">
        <f>VLOOKUP('E-impôts'!A3,Feuil2!$A$1:$AA$298,10,0)</f>
        <v>SARL</v>
      </c>
      <c r="I3" t="str">
        <f>VLOOKUP('E-impôts'!A3,Feuil2!$A$1:$AA$298,5,0)</f>
        <v>M. KOFFI N'ZI BILE MARIUS</v>
      </c>
      <c r="J3" t="str">
        <f>VLOOKUP('E-impôts'!A3,Feuil2!$A$1:$AA$298,19,0)</f>
        <v>0708889604 /0707038895</v>
      </c>
      <c r="K3" t="str">
        <f>VLOOKUP('E-impôts'!A3,Feuil2!$A$1:$AA$298,9,0)</f>
        <v>CI-ABJ-03-2023-B12-05066</v>
      </c>
      <c r="L3" t="str">
        <f>VLOOKUP('E-impôts'!A3,Feuil2!$A$1:$AA$298,15,0)</f>
        <v>Riviera II</v>
      </c>
      <c r="M3" t="str">
        <f>VLOOKUP('E-impôts'!A3,Feuil2!$A$1:$AA$298,13,0)</f>
        <v>N/D</v>
      </c>
      <c r="N3" t="str">
        <f>VLOOKUP('E-impôts'!A3,Feuil2!$A$1:$AA$298,14,0)</f>
        <v>N/D</v>
      </c>
      <c r="O3" t="str">
        <f>VLOOKUP('E-impôts'!A3,Feuil2!$A$1:$AA$298,16,0)</f>
        <v>SCE0306</v>
      </c>
      <c r="P3">
        <f>VLOOKUP(A3,Feuil2!$A$1:$AA$298,17,0)</f>
        <v>1000000</v>
      </c>
    </row>
    <row r="4" spans="1:16">
      <c r="A4" t="s">
        <v>4</v>
      </c>
      <c r="B4" t="s">
        <v>5</v>
      </c>
      <c r="C4" t="str">
        <f>VLOOKUP(A4,Feuil2!$A$1:$AA$298,4,0)</f>
        <v>CABINET CFA</v>
      </c>
      <c r="D4" s="1">
        <v>44224</v>
      </c>
      <c r="E4" t="str">
        <f>VLOOKUP('E-impôts'!A4,Feuil2!$A$1:$AA$298,8,0)</f>
        <v>DCK-CGA2019-A006</v>
      </c>
      <c r="F4" t="str">
        <f>VLOOKUP('E-impôts'!A4,Feuil2!$A$1:$AA$298,24,0)</f>
        <v>DEUX PLATEAUX SICOGI</v>
      </c>
      <c r="G4" t="str">
        <f>VLOOKUP('E-impôts'!A4,Feuil2!$A$1:$AA$298,11,0)</f>
        <v>TEE</v>
      </c>
      <c r="H4" t="str">
        <f>VLOOKUP('E-impôts'!A4,Feuil2!$A$1:$AA$298,10,0)</f>
        <v>SARL</v>
      </c>
      <c r="I4" t="str">
        <f>VLOOKUP('E-impôts'!A4,Feuil2!$A$1:$AA$298,5,0)</f>
        <v>NULL</v>
      </c>
      <c r="J4">
        <f>VLOOKUP('E-impôts'!A4,Feuil2!$A$1:$AA$298,19,0)</f>
        <v>708514241</v>
      </c>
      <c r="K4" t="str">
        <f>VLOOKUP('E-impôts'!A4,Feuil2!$A$1:$AA$298,9,0)</f>
        <v>NULL</v>
      </c>
      <c r="L4" t="str">
        <f>VLOOKUP('E-impôts'!A4,Feuil2!$A$1:$AA$298,15,0)</f>
        <v>II Plateaux I</v>
      </c>
      <c r="M4" t="str">
        <f>VLOOKUP('E-impôts'!A4,Feuil2!$A$1:$AA$298,13,0)</f>
        <v>NULL</v>
      </c>
      <c r="N4" t="str">
        <f>VLOOKUP('E-impôts'!A4,Feuil2!$A$1:$AA$298,14,0)</f>
        <v>NULL</v>
      </c>
      <c r="O4" t="str">
        <f>VLOOKUP('E-impôts'!A4,Feuil2!$A$1:$AA$298,16,0)</f>
        <v>NULL</v>
      </c>
      <c r="P4" t="str">
        <f>VLOOKUP(A4,Feuil2!$A$1:$AA$298,17,0)</f>
        <v>NULL</v>
      </c>
    </row>
    <row r="5" spans="1:16">
      <c r="A5" t="s">
        <v>6</v>
      </c>
      <c r="B5" t="s">
        <v>7</v>
      </c>
      <c r="C5" t="e">
        <f>VLOOKUP(A5,Feuil2!$A$1:$AA$298,4,0)</f>
        <v>#N/A</v>
      </c>
      <c r="D5" s="1">
        <v>45321</v>
      </c>
      <c r="E5" t="str">
        <f>VLOOKUP('E-impôts'!A5,Feuil2!$A$1:$AA$298,8,0)</f>
        <v>DCK-CGA2024-A088</v>
      </c>
      <c r="F5" t="str">
        <f>VLOOKUP('E-impôts'!A5,Feuil2!$A$1:$AA$298,24,0)</f>
        <v>COCODY RIVIERA AKOUEDO EXT</v>
      </c>
      <c r="G5" t="str">
        <f>VLOOKUP('E-impôts'!A5,Feuil2!$A$1:$AA$298,11,0)</f>
        <v>TEE</v>
      </c>
      <c r="H5" t="str">
        <f>VLOOKUP('E-impôts'!A5,Feuil2!$A$1:$AA$298,10,0)</f>
        <v>ENTREPRISE INDIVIDUELLE</v>
      </c>
      <c r="I5" t="str">
        <f>VLOOKUP('E-impôts'!A5,Feuil2!$A$1:$AA$298,5,0)</f>
        <v>ZOUE SEA ESTELLE</v>
      </c>
      <c r="J5">
        <f>VLOOKUP('E-impôts'!A5,Feuil2!$A$1:$AA$298,19,0)</f>
        <v>505954425</v>
      </c>
      <c r="K5" t="str">
        <f>VLOOKUP('E-impôts'!A5,Feuil2!$A$1:$AA$298,9,0)</f>
        <v>CI-ABJ-032022-A10-04009</v>
      </c>
      <c r="L5" t="str">
        <f>VLOOKUP('E-impôts'!A5,Feuil2!$A$1:$AA$298,15,0)</f>
        <v>Cocody</v>
      </c>
      <c r="M5">
        <f>VLOOKUP('E-impôts'!A5,Feuil2!$A$1:$AA$298,13,0)</f>
        <v>0</v>
      </c>
      <c r="N5">
        <f>VLOOKUP('E-impôts'!A5,Feuil2!$A$1:$AA$298,14,0)</f>
        <v>0</v>
      </c>
      <c r="O5" t="s">
        <v>2410</v>
      </c>
      <c r="P5">
        <f>VLOOKUP(A5,Feuil2!$A$1:$AA$298,17,0)</f>
        <v>25000</v>
      </c>
    </row>
    <row r="6" spans="1:16">
      <c r="A6" t="s">
        <v>8</v>
      </c>
      <c r="B6" t="s">
        <v>9</v>
      </c>
      <c r="C6" t="str">
        <f>VLOOKUP('E-impôts'!A6,Feuil2!$A$1:$AA$298,4,0)</f>
        <v>DCK</v>
      </c>
      <c r="D6" s="1">
        <v>43479</v>
      </c>
      <c r="E6" t="str">
        <f>VLOOKUP('E-impôts'!A6,Feuil2!$A$1:$AA$298,8,0)</f>
        <v>DCK-CGA2019-A024</v>
      </c>
      <c r="F6" t="str">
        <f>VLOOKUP('E-impôts'!A6,Feuil2!$A$1:$AA$298,24,0)</f>
        <v xml:space="preserve">COCODY SAINT JEAN </v>
      </c>
      <c r="G6" t="str">
        <f>VLOOKUP('E-impôts'!A6,Feuil2!$A$1:$AA$298,11,0)</f>
        <v>TEE</v>
      </c>
      <c r="H6" t="str">
        <f>VLOOKUP('E-impôts'!A6,Feuil2!$A$1:$AA$298,10,0)</f>
        <v>ENTREPRISE INDIVIDUELLE</v>
      </c>
      <c r="I6" t="s">
        <v>9</v>
      </c>
      <c r="J6">
        <f>VLOOKUP('E-impôts'!A6,Feuil2!$A$1:$AA$298,19,0)</f>
        <v>505843545</v>
      </c>
      <c r="K6" t="str">
        <f>VLOOKUP('E-impôts'!A6,Feuil2!$A$1:$AA$298,9,0)</f>
        <v>NULL</v>
      </c>
      <c r="L6" t="str">
        <f>VLOOKUP('E-impôts'!A6,Feuil2!$A$1:$AA$298,15,0)</f>
        <v>Cocody</v>
      </c>
      <c r="M6" t="str">
        <f>VLOOKUP('E-impôts'!A6,Feuil2!$A$1:$AA$298,13,0)</f>
        <v>NULL</v>
      </c>
      <c r="N6" t="str">
        <f>VLOOKUP('E-impôts'!A6,Feuil2!$A$1:$AA$298,14,0)</f>
        <v>NULL</v>
      </c>
      <c r="O6" t="s">
        <v>2377</v>
      </c>
      <c r="P6" t="str">
        <f>VLOOKUP(A6,Feuil2!$A$1:$AA$298,17,0)</f>
        <v>NULL</v>
      </c>
    </row>
    <row r="7" spans="1:16">
      <c r="A7" t="s">
        <v>10</v>
      </c>
      <c r="B7" t="s">
        <v>11</v>
      </c>
      <c r="C7" t="str">
        <f>VLOOKUP('E-impôts'!A7,Feuil2!$A$1:$AA$298,4,0)</f>
        <v>DCK</v>
      </c>
      <c r="D7" s="1">
        <v>43479</v>
      </c>
      <c r="E7" t="str">
        <f>VLOOKUP('E-impôts'!A7,Feuil2!$A$1:$AA$298,8,0)</f>
        <v>DCK-CGA2019-A025</v>
      </c>
      <c r="F7" t="str">
        <f>VLOOKUP('E-impôts'!A7,Feuil2!$A$1:$AA$298,24,0)</f>
        <v>COCODY ANGRE-DJIBI</v>
      </c>
      <c r="G7" t="str">
        <f>VLOOKUP('E-impôts'!A7,Feuil2!$A$1:$AA$298,11,0)</f>
        <v>TEE</v>
      </c>
      <c r="H7" t="str">
        <f>VLOOKUP('E-impôts'!A7,Feuil2!$A$1:$AA$298,10,0)</f>
        <v>ENTREPRISE INDIVIDUELLE</v>
      </c>
      <c r="I7" t="str">
        <f>VLOOKUP('E-impôts'!A7,Feuil2!$A$1:$AA$298,5,0)</f>
        <v>ZALLE MAHAMOUD</v>
      </c>
      <c r="J7">
        <f>VLOOKUP('E-impôts'!A7,Feuil2!$A$1:$AA$298,19,0)</f>
        <v>505938989</v>
      </c>
      <c r="K7" t="str">
        <f>VLOOKUP('E-impôts'!A7,Feuil2!$A$1:$AA$298,9,0)</f>
        <v>CI-ABJ-2011-A-6598</v>
      </c>
      <c r="L7" t="str">
        <f>VLOOKUP('E-impôts'!A7,Feuil2!$A$1:$AA$298,15,0)</f>
        <v>II Plateaux Djibi</v>
      </c>
      <c r="M7" t="str">
        <f>VLOOKUP('E-impôts'!A7,Feuil2!$A$1:$AA$298,13,0)</f>
        <v>N/D</v>
      </c>
      <c r="N7" t="str">
        <f>VLOOKUP('E-impôts'!A7,Feuil2!$A$1:$AA$298,14,0)</f>
        <v>N/D</v>
      </c>
      <c r="O7" t="s">
        <v>2409</v>
      </c>
      <c r="P7">
        <f>VLOOKUP(A7,Feuil2!$A$1:$AA$298,17,0)</f>
        <v>0</v>
      </c>
    </row>
    <row r="8" spans="1:16">
      <c r="A8" t="s">
        <v>12</v>
      </c>
      <c r="B8" t="s">
        <v>13</v>
      </c>
      <c r="C8" t="str">
        <f>VLOOKUP('E-impôts'!A8,Feuil2!$A$1:$AA$298,4,0)</f>
        <v>CABINET CFA</v>
      </c>
      <c r="D8" s="1">
        <v>44224</v>
      </c>
      <c r="E8" t="str">
        <f>VLOOKUP('E-impôts'!A8,Feuil2!$A$1:$AA$298,8,0)</f>
        <v>DCK-CGA2021-Q144</v>
      </c>
      <c r="F8" t="str">
        <f>VLOOKUP('E-impôts'!A8,Feuil2!$A$1:$AA$298,24,0)</f>
        <v xml:space="preserve">RIVIERA BONOUMIN </v>
      </c>
      <c r="G8" t="str">
        <f>VLOOKUP('E-impôts'!A8,Feuil2!$A$1:$AA$298,11,0)</f>
        <v>TEE</v>
      </c>
      <c r="H8" t="str">
        <f>VLOOKUP('E-impôts'!A8,Feuil2!$A$1:$AA$298,10,0)</f>
        <v>ENTREPRISE INDIVIDUELLE</v>
      </c>
      <c r="I8" t="str">
        <f>VLOOKUP('E-impôts'!A8,Feuil2!$A$1:$AA$298,5,0)</f>
        <v>NULL</v>
      </c>
      <c r="J8">
        <f>VLOOKUP('E-impôts'!A8,Feuil2!$A$1:$AA$298,19,0)</f>
        <v>757740578</v>
      </c>
      <c r="K8" t="str">
        <f>VLOOKUP('E-impôts'!A8,Feuil2!$A$1:$AA$298,9,0)</f>
        <v>NULL</v>
      </c>
      <c r="L8" t="str">
        <f>VLOOKUP('E-impôts'!A8,Feuil2!$A$1:$AA$298,15,0)</f>
        <v>II Plateaux I</v>
      </c>
      <c r="M8" t="str">
        <f>VLOOKUP('E-impôts'!A8,Feuil2!$A$1:$AA$298,13,0)</f>
        <v>NULL</v>
      </c>
      <c r="N8" t="str">
        <f>VLOOKUP('E-impôts'!A8,Feuil2!$A$1:$AA$298,14,0)</f>
        <v>NULL</v>
      </c>
      <c r="O8" t="str">
        <f>VLOOKUP('E-impôts'!A8,Feuil2!$A$1:$AA$298,16,0)</f>
        <v>NULL</v>
      </c>
      <c r="P8" t="str">
        <f>VLOOKUP(A8,Feuil2!$A$1:$AA$298,17,0)</f>
        <v>NULL</v>
      </c>
    </row>
    <row r="9" spans="1:16">
      <c r="A9" t="s">
        <v>14</v>
      </c>
      <c r="B9" t="s">
        <v>15</v>
      </c>
      <c r="C9" t="str">
        <f>VLOOKUP('E-impôts'!A9,Feuil2!$A$1:$AA$298,4,0)</f>
        <v>DCK</v>
      </c>
      <c r="D9" s="1">
        <v>43479</v>
      </c>
      <c r="E9" t="str">
        <f>VLOOKUP('E-impôts'!A9,Feuil2!$A$1:$AA$298,8,0)</f>
        <v>DCK-CGA2019-A005</v>
      </c>
      <c r="F9" t="str">
        <f>VLOOKUP('E-impôts'!A9,Feuil2!$A$1:$AA$298,24,0)</f>
        <v>COCODY RIVIERA BONOUMIN</v>
      </c>
      <c r="G9" t="str">
        <f>VLOOKUP('E-impôts'!A9,Feuil2!$A$1:$AA$298,11,0)</f>
        <v>TEE</v>
      </c>
      <c r="H9" t="str">
        <f>VLOOKUP('E-impôts'!A9,Feuil2!$A$1:$AA$298,10,0)</f>
        <v>ENTREPRISE INDIVIDUELLE</v>
      </c>
      <c r="I9" t="str">
        <f>VLOOKUP('E-impôts'!A9,Feuil2!$A$1:$AA$298,5,0)</f>
        <v xml:space="preserve">YIRA SIAKA </v>
      </c>
      <c r="J9">
        <f>VLOOKUP('E-impôts'!A9,Feuil2!$A$1:$AA$298,19,0)</f>
        <v>757740598</v>
      </c>
      <c r="K9" t="str">
        <f>VLOOKUP('E-impôts'!A9,Feuil2!$A$1:$AA$298,9,0)</f>
        <v>09 BP 2525 ABIDJAN 09</v>
      </c>
      <c r="L9" t="str">
        <f>VLOOKUP('E-impôts'!A9,Feuil2!$A$1:$AA$298,15,0)</f>
        <v>II Plateaux III</v>
      </c>
      <c r="M9" t="str">
        <f>VLOOKUP('E-impôts'!A9,Feuil2!$A$1:$AA$298,13,0)</f>
        <v>N/D</v>
      </c>
      <c r="N9" t="str">
        <f>VLOOKUP('E-impôts'!A9,Feuil2!$A$1:$AA$298,14,0)</f>
        <v>N/D</v>
      </c>
      <c r="O9" t="s">
        <v>2404</v>
      </c>
      <c r="P9">
        <f>VLOOKUP(A9,Feuil2!$A$1:$AA$298,17,0)</f>
        <v>6000000</v>
      </c>
    </row>
    <row r="10" spans="1:16">
      <c r="A10" t="s">
        <v>16</v>
      </c>
      <c r="B10" t="s">
        <v>17</v>
      </c>
      <c r="C10" t="str">
        <f>VLOOKUP('E-impôts'!A10,Feuil2!$A$1:$AA$298,4,0)</f>
        <v>DCK</v>
      </c>
      <c r="D10" s="1">
        <v>43479</v>
      </c>
      <c r="E10" t="str">
        <f>VLOOKUP('E-impôts'!A10,Feuil2!$A$1:$AA$298,8,0)</f>
        <v>DCK-CGA2019-A040</v>
      </c>
      <c r="F10" t="str">
        <f>VLOOKUP('E-impôts'!A10,Feuil2!$A$1:$AA$298,24,0)</f>
        <v xml:space="preserve">COCODY II PLATEAUX VALLON </v>
      </c>
      <c r="G10" t="str">
        <f>VLOOKUP('E-impôts'!A10,Feuil2!$A$1:$AA$298,11,0)</f>
        <v>TEE</v>
      </c>
      <c r="H10" t="str">
        <f>VLOOKUP('E-impôts'!A10,Feuil2!$A$1:$AA$298,10,0)</f>
        <v>ENTREPRISE INDIVIDUELLE</v>
      </c>
      <c r="I10" t="s">
        <v>17</v>
      </c>
      <c r="J10">
        <f>VLOOKUP('E-impôts'!A10,Feuil2!$A$1:$AA$298,19,0)</f>
        <v>707070392</v>
      </c>
      <c r="K10" t="str">
        <f>VLOOKUP('E-impôts'!A10,Feuil2!$A$1:$AA$298,9,0)</f>
        <v>NULL</v>
      </c>
      <c r="L10" t="str">
        <f>VLOOKUP('E-impôts'!A10,Feuil2!$A$1:$AA$298,15,0)</f>
        <v>II Plateaux II</v>
      </c>
      <c r="M10" t="str">
        <f>VLOOKUP('E-impôts'!A10,Feuil2!$A$1:$AA$298,13,0)</f>
        <v>NULL</v>
      </c>
      <c r="N10" t="str">
        <f>VLOOKUP('E-impôts'!A10,Feuil2!$A$1:$AA$298,14,0)</f>
        <v>NULL</v>
      </c>
      <c r="O10" t="s">
        <v>2379</v>
      </c>
      <c r="P10" t="str">
        <f>VLOOKUP(A10,Feuil2!$A$1:$AA$298,17,0)</f>
        <v>NULL</v>
      </c>
    </row>
    <row r="11" spans="1:16">
      <c r="A11" t="s">
        <v>18</v>
      </c>
      <c r="B11" t="s">
        <v>19</v>
      </c>
      <c r="C11" t="e">
        <f>VLOOKUP('E-impôts'!A11,Feuil2!$A$1:$AA$298,4,0)</f>
        <v>#N/A</v>
      </c>
      <c r="D11" s="1">
        <v>43479</v>
      </c>
      <c r="E11" t="e">
        <f>VLOOKUP('E-impôts'!A11,Feuil2!$A$1:$AA$298,8,0)</f>
        <v>#N/A</v>
      </c>
      <c r="F11" t="e">
        <f>VLOOKUP('E-impôts'!A11,Feuil2!$A$1:$AA$298,24,0)</f>
        <v>#N/A</v>
      </c>
      <c r="G11" t="e">
        <f>VLOOKUP('E-impôts'!A11,Feuil2!$A$1:$AA$298,11,0)</f>
        <v>#N/A</v>
      </c>
      <c r="H11" t="e">
        <f>VLOOKUP('E-impôts'!A11,Feuil2!$A$1:$AA$298,10,0)</f>
        <v>#N/A</v>
      </c>
      <c r="I11" t="e">
        <f>VLOOKUP('E-impôts'!A11,Feuil2!$A$1:$AA$298,5,0)</f>
        <v>#N/A</v>
      </c>
      <c r="J11" t="e">
        <f>VLOOKUP('E-impôts'!A11,Feuil2!$A$1:$AA$298,19,0)</f>
        <v>#N/A</v>
      </c>
      <c r="K11" t="e">
        <f>VLOOKUP('E-impôts'!A11,Feuil2!$A$1:$AA$298,9,0)</f>
        <v>#N/A</v>
      </c>
      <c r="L11" t="e">
        <f>VLOOKUP('E-impôts'!A11,Feuil2!$A$1:$AA$298,15,0)</f>
        <v>#N/A</v>
      </c>
      <c r="M11" t="e">
        <f>VLOOKUP('E-impôts'!A11,Feuil2!$A$1:$AA$298,13,0)</f>
        <v>#N/A</v>
      </c>
      <c r="N11" t="e">
        <f>VLOOKUP('E-impôts'!A11,Feuil2!$A$1:$AA$298,14,0)</f>
        <v>#N/A</v>
      </c>
      <c r="O11" t="e">
        <f>VLOOKUP('E-impôts'!A11,Feuil2!$A$1:$AA$298,16,0)</f>
        <v>#N/A</v>
      </c>
      <c r="P11" t="e">
        <f>VLOOKUP(A11,Feuil2!$A$1:$AA$298,17,0)</f>
        <v>#N/A</v>
      </c>
    </row>
    <row r="12" spans="1:16">
      <c r="A12" t="s">
        <v>20</v>
      </c>
      <c r="B12" t="s">
        <v>21</v>
      </c>
      <c r="C12" t="str">
        <f>VLOOKUP('E-impôts'!A12,Feuil2!$A$1:$AA$298,4,0)</f>
        <v>DCK</v>
      </c>
      <c r="D12" s="1">
        <v>44574</v>
      </c>
      <c r="E12" t="str">
        <f>VLOOKUP('E-impôts'!A12,Feuil2!$A$1:$AA$298,8,0)</f>
        <v>DCK-CGA-2022-J004</v>
      </c>
      <c r="F12" t="str">
        <f>VLOOKUP('E-impôts'!A12,Feuil2!$A$1:$AA$298,24,0)</f>
        <v>COCODY RIVIERA II</v>
      </c>
      <c r="G12" t="str">
        <f>VLOOKUP('E-impôts'!A12,Feuil2!$A$1:$AA$298,11,0)</f>
        <v>TEE</v>
      </c>
      <c r="H12" t="str">
        <f>VLOOKUP('E-impôts'!A12,Feuil2!$A$1:$AA$298,10,0)</f>
        <v>ENTREPRISE INDIVIDUELLE</v>
      </c>
      <c r="I12" t="str">
        <f>VLOOKUP('E-impôts'!A12,Feuil2!$A$1:$AA$298,5,0)</f>
        <v>NULL</v>
      </c>
      <c r="J12">
        <f>VLOOKUP('E-impôts'!A12,Feuil2!$A$1:$AA$298,19,0)</f>
        <v>778120796</v>
      </c>
      <c r="K12" t="str">
        <f>VLOOKUP('E-impôts'!A12,Feuil2!$A$1:$AA$298,9,0)</f>
        <v>NULL</v>
      </c>
      <c r="L12" t="str">
        <f>VLOOKUP('E-impôts'!A12,Feuil2!$A$1:$AA$298,15,0)</f>
        <v xml:space="preserve">Riviera I </v>
      </c>
      <c r="M12" t="str">
        <f>VLOOKUP('E-impôts'!A12,Feuil2!$A$1:$AA$298,13,0)</f>
        <v>NULL</v>
      </c>
      <c r="N12" t="str">
        <f>VLOOKUP('E-impôts'!A12,Feuil2!$A$1:$AA$298,14,0)</f>
        <v>NULL</v>
      </c>
      <c r="O12" t="str">
        <f>VLOOKUP('E-impôts'!A12,Feuil2!$A$1:$AA$298,16,0)</f>
        <v>NULL</v>
      </c>
      <c r="P12" t="str">
        <f>VLOOKUP(A12,Feuil2!$A$1:$AA$298,17,0)</f>
        <v>NULL</v>
      </c>
    </row>
    <row r="13" spans="1:16">
      <c r="A13" t="s">
        <v>22</v>
      </c>
      <c r="B13" t="s">
        <v>23</v>
      </c>
      <c r="C13" t="str">
        <f>VLOOKUP('E-impôts'!A13,Feuil2!$A$1:$AA$298,4,0)</f>
        <v>CABINET CFA</v>
      </c>
      <c r="D13" s="1">
        <v>44224</v>
      </c>
      <c r="E13" t="str">
        <f>VLOOKUP('E-impôts'!A13,Feuil2!$A$1:$AA$298,8,0)</f>
        <v>DCK-CGA2021-Q139</v>
      </c>
      <c r="F13">
        <f>VLOOKUP('E-impôts'!A13,Feuil2!$A$1:$AA$298,24,0)</f>
        <v>0</v>
      </c>
      <c r="G13" t="str">
        <f>VLOOKUP('E-impôts'!A13,Feuil2!$A$1:$AA$298,11,0)</f>
        <v>TEE</v>
      </c>
      <c r="H13" t="str">
        <f>VLOOKUP('E-impôts'!A13,Feuil2!$A$1:$AA$298,10,0)</f>
        <v>ENTREPRISE INDIVIDUELLE</v>
      </c>
      <c r="I13" t="str">
        <f>VLOOKUP('E-impôts'!A13,Feuil2!$A$1:$AA$298,5,0)</f>
        <v>NULL</v>
      </c>
      <c r="J13">
        <f>VLOOKUP('E-impôts'!A13,Feuil2!$A$1:$AA$298,19,0)</f>
        <v>0</v>
      </c>
      <c r="K13" t="str">
        <f>VLOOKUP('E-impôts'!A13,Feuil2!$A$1:$AA$298,9,0)</f>
        <v>NULL</v>
      </c>
      <c r="L13" t="str">
        <f>VLOOKUP('E-impôts'!A13,Feuil2!$A$1:$AA$298,15,0)</f>
        <v>II Plateaux I</v>
      </c>
      <c r="M13" t="str">
        <f>VLOOKUP('E-impôts'!A13,Feuil2!$A$1:$AA$298,13,0)</f>
        <v>NULL</v>
      </c>
      <c r="N13" t="str">
        <f>VLOOKUP('E-impôts'!A13,Feuil2!$A$1:$AA$298,14,0)</f>
        <v>NULL</v>
      </c>
      <c r="O13" t="str">
        <f>VLOOKUP('E-impôts'!A13,Feuil2!$A$1:$AA$298,16,0)</f>
        <v>NULL</v>
      </c>
      <c r="P13" t="str">
        <f>VLOOKUP(A13,Feuil2!$A$1:$AA$298,17,0)</f>
        <v>NULL</v>
      </c>
    </row>
    <row r="14" spans="1:16">
      <c r="A14" t="s">
        <v>24</v>
      </c>
      <c r="B14" t="s">
        <v>25</v>
      </c>
      <c r="C14" t="str">
        <f>VLOOKUP('E-impôts'!A14,Feuil2!$A$1:$AA$298,4,0)</f>
        <v>DCK</v>
      </c>
      <c r="D14" s="1">
        <v>43479</v>
      </c>
      <c r="E14" t="str">
        <f>VLOOKUP('E-impôts'!A14,Feuil2!$A$1:$AA$298,8,0)</f>
        <v>DCK-CGA2019-A027</v>
      </c>
      <c r="F14" t="str">
        <f>VLOOKUP('E-impôts'!A14,Feuil2!$A$1:$AA$298,24,0)</f>
        <v>RIVIERA BONOUMIN</v>
      </c>
      <c r="G14" t="str">
        <f>VLOOKUP('E-impôts'!A14,Feuil2!$A$1:$AA$298,11,0)</f>
        <v>TEE</v>
      </c>
      <c r="H14" t="str">
        <f>VLOOKUP('E-impôts'!A14,Feuil2!$A$1:$AA$298,10,0)</f>
        <v>ENTREPRISE INDIVIDUELLE</v>
      </c>
      <c r="I14" t="str">
        <f>VLOOKUP('E-impôts'!A14,Feuil2!$A$1:$AA$298,5,0)</f>
        <v>YOA N'GUESSAN ADELE EPSE DJEDJE</v>
      </c>
      <c r="J14">
        <f>VLOOKUP('E-impôts'!A14,Feuil2!$A$1:$AA$298,19,0)</f>
        <v>505060740</v>
      </c>
      <c r="K14" t="str">
        <f>VLOOKUP('E-impôts'!A14,Feuil2!$A$1:$AA$298,9,0)</f>
        <v>CI-ABJ-2012-A-1024</v>
      </c>
      <c r="L14" t="str">
        <f>VLOOKUP('E-impôts'!A14,Feuil2!$A$1:$AA$298,15,0)</f>
        <v>II Plateaux III</v>
      </c>
      <c r="M14" t="str">
        <f>VLOOKUP('E-impôts'!A14,Feuil2!$A$1:$AA$298,13,0)</f>
        <v>ABC</v>
      </c>
      <c r="N14">
        <f>VLOOKUP('E-impôts'!A14,Feuil2!$A$1:$AA$298,14,0)</f>
        <v>39</v>
      </c>
      <c r="O14" t="s">
        <v>2391</v>
      </c>
      <c r="P14">
        <f>VLOOKUP(A14,Feuil2!$A$1:$AA$298,17,0)</f>
        <v>0</v>
      </c>
    </row>
    <row r="15" spans="1:16">
      <c r="A15" t="s">
        <v>26</v>
      </c>
      <c r="B15" t="s">
        <v>27</v>
      </c>
      <c r="C15" t="str">
        <f>VLOOKUP('E-impôts'!A15,Feuil2!$A$1:$AA$298,4,0)</f>
        <v>DCK</v>
      </c>
      <c r="D15" s="1">
        <v>43847</v>
      </c>
      <c r="E15" t="str">
        <f>VLOOKUP('E-impôts'!A15,Feuil2!$A$1:$AA$298,8,0)</f>
        <v>DCK-CGA2020-A051</v>
      </c>
      <c r="F15" t="str">
        <f>VLOOKUP('E-impôts'!A15,Feuil2!$A$1:$AA$298,24,0)</f>
        <v>COCODY BONOUMIN</v>
      </c>
      <c r="G15" t="str">
        <f>VLOOKUP('E-impôts'!A15,Feuil2!$A$1:$AA$298,11,0)</f>
        <v>TEE</v>
      </c>
      <c r="H15" t="str">
        <f>VLOOKUP('E-impôts'!A15,Feuil2!$A$1:$AA$298,10,0)</f>
        <v>ENTREPRISE INDIVIDUELLE</v>
      </c>
      <c r="I15" t="str">
        <f>VLOOKUP('E-impôts'!A15,Feuil2!$A$1:$AA$298,5,0)</f>
        <v>YAO N'DRI FRANCK AIME</v>
      </c>
      <c r="J15">
        <f>VLOOKUP('E-impôts'!A15,Feuil2!$A$1:$AA$298,19,0)</f>
        <v>708112943</v>
      </c>
      <c r="K15">
        <f>VLOOKUP('E-impôts'!A15,Feuil2!$A$1:$AA$298,9,0)</f>
        <v>0</v>
      </c>
      <c r="L15" t="str">
        <f>VLOOKUP('E-impôts'!A15,Feuil2!$A$1:$AA$298,15,0)</f>
        <v>II Plateaux III</v>
      </c>
      <c r="M15" t="str">
        <f>VLOOKUP('E-impôts'!A15,Feuil2!$A$1:$AA$298,13,0)</f>
        <v>ABH</v>
      </c>
      <c r="N15">
        <f>VLOOKUP('E-impôts'!A15,Feuil2!$A$1:$AA$298,14,0)</f>
        <v>10</v>
      </c>
      <c r="O15" t="s">
        <v>2374</v>
      </c>
      <c r="P15">
        <f>VLOOKUP(A15,Feuil2!$A$1:$AA$298,17,0)</f>
        <v>0</v>
      </c>
    </row>
    <row r="16" spans="1:16">
      <c r="A16" t="s">
        <v>28</v>
      </c>
      <c r="B16" t="s">
        <v>29</v>
      </c>
      <c r="C16" t="str">
        <f>VLOOKUP('E-impôts'!A16,Feuil2!$A$1:$AA$298,4,0)</f>
        <v>GOHI</v>
      </c>
      <c r="D16" s="1">
        <v>44951</v>
      </c>
      <c r="E16" t="str">
        <f>VLOOKUP('E-impôts'!A16,Feuil2!$A$1:$AA$298,8,0)</f>
        <v>DCK-CGA2023-J018</v>
      </c>
      <c r="F16" t="str">
        <f>VLOOKUP('E-impôts'!A16,Feuil2!$A$1:$AA$298,24,0)</f>
        <v xml:space="preserve">COCODY ANGRE 7E TRANCHE OSCARS </v>
      </c>
      <c r="G16" t="str">
        <f>VLOOKUP('E-impôts'!A16,Feuil2!$A$1:$AA$298,11,0)</f>
        <v>TEE</v>
      </c>
      <c r="H16" t="str">
        <f>VLOOKUP('E-impôts'!A16,Feuil2!$A$1:$AA$298,10,0)</f>
        <v>SARL</v>
      </c>
      <c r="I16" t="str">
        <f>VLOOKUP('E-impôts'!A16,Feuil2!$A$1:$AA$298,5,0)</f>
        <v>NULL</v>
      </c>
      <c r="J16">
        <f>VLOOKUP('E-impôts'!A16,Feuil2!$A$1:$AA$298,19,0)</f>
        <v>757118226</v>
      </c>
      <c r="K16" t="str">
        <f>VLOOKUP('E-impôts'!A16,Feuil2!$A$1:$AA$298,9,0)</f>
        <v>NULL</v>
      </c>
      <c r="L16" t="str">
        <f>VLOOKUP('E-impôts'!A16,Feuil2!$A$1:$AA$298,15,0)</f>
        <v>II Plateaux I</v>
      </c>
      <c r="M16" t="str">
        <f>VLOOKUP('E-impôts'!A16,Feuil2!$A$1:$AA$298,13,0)</f>
        <v>NULL</v>
      </c>
      <c r="N16" t="str">
        <f>VLOOKUP('E-impôts'!A16,Feuil2!$A$1:$AA$298,14,0)</f>
        <v>NULL</v>
      </c>
      <c r="O16" t="str">
        <f>VLOOKUP('E-impôts'!A16,Feuil2!$A$1:$AA$298,16,0)</f>
        <v>NULL</v>
      </c>
      <c r="P16" t="str">
        <f>VLOOKUP(A16,Feuil2!$A$1:$AA$298,17,0)</f>
        <v>NULL</v>
      </c>
    </row>
    <row r="17" spans="1:16">
      <c r="A17" t="s">
        <v>30</v>
      </c>
      <c r="B17" t="s">
        <v>31</v>
      </c>
      <c r="C17" t="e">
        <f>VLOOKUP('E-impôts'!A17,Feuil2!$A$1:$AA$298,4,0)</f>
        <v>#N/A</v>
      </c>
      <c r="D17" s="1">
        <v>43845</v>
      </c>
      <c r="E17" t="e">
        <f>VLOOKUP('E-impôts'!A17,Feuil2!$A$1:$AA$298,8,0)</f>
        <v>#N/A</v>
      </c>
      <c r="F17" t="e">
        <f>VLOOKUP('E-impôts'!A17,Feuil2!$A$1:$AA$298,24,0)</f>
        <v>#N/A</v>
      </c>
      <c r="G17" t="e">
        <f>VLOOKUP('E-impôts'!A17,Feuil2!$A$1:$AA$298,11,0)</f>
        <v>#N/A</v>
      </c>
      <c r="H17" t="e">
        <f>VLOOKUP('E-impôts'!A17,Feuil2!$A$1:$AA$298,10,0)</f>
        <v>#N/A</v>
      </c>
      <c r="I17" t="s">
        <v>2406</v>
      </c>
      <c r="J17" t="e">
        <f>VLOOKUP('E-impôts'!A17,Feuil2!$A$1:$AA$298,19,0)</f>
        <v>#N/A</v>
      </c>
      <c r="K17" t="e">
        <f>VLOOKUP('E-impôts'!A17,Feuil2!$A$1:$AA$298,9,0)</f>
        <v>#N/A</v>
      </c>
      <c r="L17" t="e">
        <f>VLOOKUP('E-impôts'!A17,Feuil2!$A$1:$AA$298,15,0)</f>
        <v>#N/A</v>
      </c>
      <c r="M17" t="e">
        <f>VLOOKUP('E-impôts'!A17,Feuil2!$A$1:$AA$298,13,0)</f>
        <v>#N/A</v>
      </c>
      <c r="N17" t="e">
        <f>VLOOKUP('E-impôts'!A17,Feuil2!$A$1:$AA$298,14,0)</f>
        <v>#N/A</v>
      </c>
      <c r="O17" t="s">
        <v>2407</v>
      </c>
      <c r="P17" t="e">
        <f>VLOOKUP(A17,Feuil2!$A$1:$AA$298,17,0)</f>
        <v>#N/A</v>
      </c>
    </row>
    <row r="18" spans="1:16">
      <c r="A18" t="s">
        <v>32</v>
      </c>
      <c r="B18" t="s">
        <v>33</v>
      </c>
      <c r="C18" t="str">
        <f>VLOOKUP('E-impôts'!A18,Feuil2!$A$1:$AA$298,4,0)</f>
        <v>DCK</v>
      </c>
      <c r="D18" s="1">
        <v>43479</v>
      </c>
      <c r="E18" t="str">
        <f>VLOOKUP('E-impôts'!A18,Feuil2!$A$1:$AA$298,8,0)</f>
        <v>DCK-CGA2019-A007</v>
      </c>
      <c r="F18" t="str">
        <f>VLOOKUP('E-impôts'!A18,Feuil2!$A$1:$AA$298,24,0)</f>
        <v xml:space="preserve">COCODY ANGRE 7E TRANCHE </v>
      </c>
      <c r="G18" t="str">
        <f>VLOOKUP('E-impôts'!A18,Feuil2!$A$1:$AA$298,11,0)</f>
        <v>TEE</v>
      </c>
      <c r="H18" t="str">
        <f>VLOOKUP('E-impôts'!A18,Feuil2!$A$1:$AA$298,10,0)</f>
        <v>SARL</v>
      </c>
      <c r="I18" t="s">
        <v>2383</v>
      </c>
      <c r="J18">
        <f>VLOOKUP('E-impôts'!A18,Feuil2!$A$1:$AA$298,19,0)</f>
        <v>789844008</v>
      </c>
      <c r="K18" t="str">
        <f>VLOOKUP('E-impôts'!A18,Feuil2!$A$1:$AA$298,9,0)</f>
        <v>NULL</v>
      </c>
      <c r="L18" t="str">
        <f>VLOOKUP('E-impôts'!A18,Feuil2!$A$1:$AA$298,15,0)</f>
        <v>II Plateaux I</v>
      </c>
      <c r="M18" t="str">
        <f>VLOOKUP('E-impôts'!A18,Feuil2!$A$1:$AA$298,13,0)</f>
        <v>NULL</v>
      </c>
      <c r="N18" t="str">
        <f>VLOOKUP('E-impôts'!A18,Feuil2!$A$1:$AA$298,14,0)</f>
        <v>NULL</v>
      </c>
      <c r="O18" t="s">
        <v>2382</v>
      </c>
      <c r="P18" t="str">
        <f>VLOOKUP(A18,Feuil2!$A$1:$AA$298,17,0)</f>
        <v>NULL</v>
      </c>
    </row>
    <row r="19" spans="1:16">
      <c r="A19" t="s">
        <v>34</v>
      </c>
      <c r="B19" t="s">
        <v>35</v>
      </c>
      <c r="C19" t="str">
        <f>VLOOKUP('E-impôts'!A19,Feuil2!$A$1:$AA$298,4,0)</f>
        <v>DCK</v>
      </c>
      <c r="D19" s="1">
        <v>43479</v>
      </c>
      <c r="E19" t="str">
        <f>VLOOKUP('E-impôts'!A19,Feuil2!$A$1:$AA$298,8,0)</f>
        <v>DCK-CGA2019-A014</v>
      </c>
      <c r="F19" t="str">
        <f>VLOOKUP('E-impôts'!A19,Feuil2!$A$1:$AA$298,24,0)</f>
        <v>COCODY ANGRE 7E TRANCHE</v>
      </c>
      <c r="G19" t="str">
        <f>VLOOKUP('E-impôts'!A19,Feuil2!$A$1:$AA$298,11,0)</f>
        <v>TEE</v>
      </c>
      <c r="H19" t="str">
        <f>VLOOKUP('E-impôts'!A19,Feuil2!$A$1:$AA$298,10,0)</f>
        <v>ENTREPRISE INDIVIDUELLE</v>
      </c>
      <c r="I19" t="str">
        <f>VLOOKUP('E-impôts'!A19,Feuil2!$A$1:$AA$298,5,0)</f>
        <v>YACE EMMANUELLE</v>
      </c>
      <c r="J19">
        <f>VLOOKUP('E-impôts'!A19,Feuil2!$A$1:$AA$298,19,0)</f>
        <v>707070392</v>
      </c>
      <c r="K19" t="str">
        <f>VLOOKUP('E-impôts'!A19,Feuil2!$A$1:$AA$298,9,0)</f>
        <v>CI-ABJ-2014-A-1249</v>
      </c>
      <c r="L19" t="str">
        <f>VLOOKUP('E-impôts'!A19,Feuil2!$A$1:$AA$298,15,0)</f>
        <v>II Plateaux III</v>
      </c>
      <c r="M19" t="str">
        <f>VLOOKUP('E-impôts'!A19,Feuil2!$A$1:$AA$298,13,0)</f>
        <v>OZ</v>
      </c>
      <c r="N19">
        <f>VLOOKUP('E-impôts'!A19,Feuil2!$A$1:$AA$298,14,0)</f>
        <v>207</v>
      </c>
      <c r="O19" t="s">
        <v>2382</v>
      </c>
      <c r="P19">
        <f>VLOOKUP(A19,Feuil2!$A$1:$AA$298,17,0)</f>
        <v>0</v>
      </c>
    </row>
    <row r="20" spans="1:16">
      <c r="A20" t="s">
        <v>36</v>
      </c>
      <c r="B20" t="s">
        <v>37</v>
      </c>
      <c r="C20" t="e">
        <f>VLOOKUP('E-impôts'!A20,Feuil2!$A$1:$AA$298,4,0)</f>
        <v>#N/A</v>
      </c>
      <c r="D20" s="1">
        <v>45316</v>
      </c>
      <c r="E20" t="str">
        <f>VLOOKUP('E-impôts'!A20,Feuil2!$A$1:$AA$298,8,0)</f>
        <v>DCK-CGA2024-A033</v>
      </c>
      <c r="F20" t="str">
        <f>VLOOKUP('E-impôts'!A20,Feuil2!$A$1:$AA$298,24,0)</f>
        <v>BINGERVILLE</v>
      </c>
      <c r="G20" t="str">
        <f>VLOOKUP('E-impôts'!A20,Feuil2!$A$1:$AA$298,11,0)</f>
        <v>TEE</v>
      </c>
      <c r="H20" t="str">
        <f>VLOOKUP('E-impôts'!A20,Feuil2!$A$1:$AA$298,10,0)</f>
        <v>SARL</v>
      </c>
      <c r="I20" t="str">
        <f>VLOOKUP('E-impôts'!A20,Feuil2!$A$1:$AA$298,5,0)</f>
        <v>WANG JINGZHONG</v>
      </c>
      <c r="J20">
        <f>VLOOKUP('E-impôts'!A20,Feuil2!$A$1:$AA$298,19,0)</f>
        <v>768151168</v>
      </c>
      <c r="K20" t="str">
        <f>VLOOKUP('E-impôts'!A20,Feuil2!$A$1:$AA$298,9,0)</f>
        <v>CI-ABJ-03-2022-B13-03433</v>
      </c>
      <c r="L20" t="str">
        <f>VLOOKUP('E-impôts'!A20,Feuil2!$A$1:$AA$298,15,0)</f>
        <v>Bingerville</v>
      </c>
      <c r="M20">
        <f>VLOOKUP('E-impôts'!A20,Feuil2!$A$1:$AA$298,13,0)</f>
        <v>0</v>
      </c>
      <c r="N20">
        <f>VLOOKUP('E-impôts'!A20,Feuil2!$A$1:$AA$298,14,0)</f>
        <v>0</v>
      </c>
      <c r="O20">
        <f>VLOOKUP('E-impôts'!A20,Feuil2!$A$1:$AA$298,16,0)</f>
        <v>0</v>
      </c>
      <c r="P20">
        <f>VLOOKUP(A20,Feuil2!$A$1:$AA$298,17,0)</f>
        <v>1000000</v>
      </c>
    </row>
    <row r="21" spans="1:16">
      <c r="A21" t="s">
        <v>38</v>
      </c>
      <c r="B21" t="s">
        <v>39</v>
      </c>
      <c r="C21" t="e">
        <f>VLOOKUP('E-impôts'!A21,Feuil2!$A$1:$AA$298,4,0)</f>
        <v>#N/A</v>
      </c>
      <c r="D21" s="1">
        <v>45322</v>
      </c>
      <c r="E21" t="str">
        <f>VLOOKUP('E-impôts'!A21,Feuil2!$A$1:$AA$298,8,0)</f>
        <v>DCK-CGA2024-A059</v>
      </c>
      <c r="F21" t="str">
        <f>VLOOKUP('E-impôts'!A21,Feuil2!$A$1:$AA$298,24,0)</f>
        <v>ABIDJAN COCODY ATTOBAN</v>
      </c>
      <c r="G21" t="str">
        <f>VLOOKUP('E-impôts'!A21,Feuil2!$A$1:$AA$298,11,0)</f>
        <v>TEE</v>
      </c>
      <c r="H21" t="str">
        <f>VLOOKUP('E-impôts'!A21,Feuil2!$A$1:$AA$298,10,0)</f>
        <v>SARL</v>
      </c>
      <c r="I21" t="str">
        <f>VLOOKUP('E-impôts'!A21,Feuil2!$A$1:$AA$298,5,0)</f>
        <v>TONYI AMEGADJIN</v>
      </c>
      <c r="J21" t="str">
        <f>VLOOKUP('E-impôts'!A21,Feuil2!$A$1:$AA$298,19,0)</f>
        <v>05 45 83 24 70 / 07 48 71 99 0</v>
      </c>
      <c r="K21" t="str">
        <f>VLOOKUP('E-impôts'!A21,Feuil2!$A$1:$AA$298,9,0)</f>
        <v>CI-ABJ-2016-B-00665</v>
      </c>
      <c r="L21" t="str">
        <f>VLOOKUP('E-impôts'!A21,Feuil2!$A$1:$AA$298,15,0)</f>
        <v>II Plateaux III</v>
      </c>
      <c r="M21" t="str">
        <f>VLOOKUP('E-impôts'!A21,Feuil2!$A$1:$AA$298,13,0)</f>
        <v>PW</v>
      </c>
      <c r="N21">
        <f>VLOOKUP('E-impôts'!A21,Feuil2!$A$1:$AA$298,14,0)</f>
        <v>1054</v>
      </c>
      <c r="O21" t="str">
        <f>VLOOKUP('E-impôts'!A21,Feuil2!$A$1:$AA$298,16,0)</f>
        <v>SCE0801</v>
      </c>
      <c r="P21" t="str">
        <f>VLOOKUP(A21,Feuil2!$A$1:$AA$298,17,0)</f>
        <v>1.000.000</v>
      </c>
    </row>
    <row r="22" spans="1:16">
      <c r="A22" t="s">
        <v>40</v>
      </c>
      <c r="B22" t="s">
        <v>41</v>
      </c>
      <c r="C22" t="str">
        <f>VLOOKUP('E-impôts'!A22,Feuil2!$A$1:$AA$298,4,0)</f>
        <v>CABINET CFA</v>
      </c>
      <c r="D22" s="1">
        <v>44592</v>
      </c>
      <c r="E22" t="str">
        <f>VLOOKUP('E-impôts'!A22,Feuil2!$A$1:$AA$298,8,0)</f>
        <v>DCK-CGA2022-J036</v>
      </c>
      <c r="F22" t="str">
        <f>VLOOKUP('E-impôts'!A22,Feuil2!$A$1:$AA$298,24,0)</f>
        <v xml:space="preserve">COCODY II PLATEAUX 7E TRANCHE </v>
      </c>
      <c r="G22" t="str">
        <f>VLOOKUP('E-impôts'!A22,Feuil2!$A$1:$AA$298,11,0)</f>
        <v>TEE</v>
      </c>
      <c r="H22" t="str">
        <f>VLOOKUP('E-impôts'!A22,Feuil2!$A$1:$AA$298,10,0)</f>
        <v>SARL</v>
      </c>
      <c r="I22" t="str">
        <f>VLOOKUP('E-impôts'!A22,Feuil2!$A$1:$AA$298,5,0)</f>
        <v>NULL</v>
      </c>
      <c r="J22">
        <f>VLOOKUP('E-impôts'!A22,Feuil2!$A$1:$AA$298,19,0)</f>
        <v>505423838</v>
      </c>
      <c r="K22" t="str">
        <f>VLOOKUP('E-impôts'!A22,Feuil2!$A$1:$AA$298,9,0)</f>
        <v>NULL</v>
      </c>
      <c r="L22" t="str">
        <f>VLOOKUP('E-impôts'!A22,Feuil2!$A$1:$AA$298,15,0)</f>
        <v>II Plateaux I</v>
      </c>
      <c r="M22" t="str">
        <f>VLOOKUP('E-impôts'!A22,Feuil2!$A$1:$AA$298,13,0)</f>
        <v>NULL</v>
      </c>
      <c r="N22" t="str">
        <f>VLOOKUP('E-impôts'!A22,Feuil2!$A$1:$AA$298,14,0)</f>
        <v>NULL</v>
      </c>
      <c r="O22" t="str">
        <f>VLOOKUP('E-impôts'!A22,Feuil2!$A$1:$AA$298,16,0)</f>
        <v>NULL</v>
      </c>
      <c r="P22" t="str">
        <f>VLOOKUP(A22,Feuil2!$A$1:$AA$298,17,0)</f>
        <v>NULL</v>
      </c>
    </row>
    <row r="23" spans="1:16">
      <c r="A23" t="s">
        <v>42</v>
      </c>
      <c r="B23" t="s">
        <v>43</v>
      </c>
      <c r="C23" t="e">
        <f>VLOOKUP('E-impôts'!A23,Feuil2!$A$1:$AA$298,4,0)</f>
        <v>#N/A</v>
      </c>
      <c r="D23" s="1">
        <v>45316</v>
      </c>
      <c r="E23" t="str">
        <f>VLOOKUP('E-impôts'!A23,Feuil2!$A$1:$AA$298,8,0)</f>
        <v>DCK-CGA2024-A031</v>
      </c>
      <c r="F23" t="str">
        <f>VLOOKUP('E-impôts'!A23,Feuil2!$A$1:$AA$298,24,0)</f>
        <v>COCODY ANGRE SOLEIL 3</v>
      </c>
      <c r="G23" t="str">
        <f>VLOOKUP('E-impôts'!A23,Feuil2!$A$1:$AA$298,11,0)</f>
        <v>TEE</v>
      </c>
      <c r="H23" t="str">
        <f>VLOOKUP('E-impôts'!A23,Feuil2!$A$1:$AA$298,10,0)</f>
        <v>SARL</v>
      </c>
      <c r="I23" t="str">
        <f>VLOOKUP('E-impôts'!A23,Feuil2!$A$1:$AA$298,5,0)</f>
        <v>EKUE ADADE</v>
      </c>
      <c r="J23">
        <f>VLOOKUP('E-impôts'!A23,Feuil2!$A$1:$AA$298,19,0)</f>
        <v>757263143</v>
      </c>
      <c r="K23" t="str">
        <f>VLOOKUP('E-impôts'!A23,Feuil2!$A$1:$AA$298,9,0)</f>
        <v>CI-ABJ-03-2023-B13-02205</v>
      </c>
      <c r="L23" t="str">
        <f>VLOOKUP('E-impôts'!A23,Feuil2!$A$1:$AA$298,15,0)</f>
        <v>II Plateaux Djibi</v>
      </c>
      <c r="M23">
        <f>VLOOKUP('E-impôts'!A23,Feuil2!$A$1:$AA$298,13,0)</f>
        <v>0</v>
      </c>
      <c r="N23">
        <f>VLOOKUP('E-impôts'!A23,Feuil2!$A$1:$AA$298,14,0)</f>
        <v>0</v>
      </c>
      <c r="O23">
        <f>VLOOKUP('E-impôts'!A23,Feuil2!$A$1:$AA$298,16,0)</f>
        <v>0</v>
      </c>
      <c r="P23">
        <f>VLOOKUP(A23,Feuil2!$A$1:$AA$298,17,0)</f>
        <v>1000000</v>
      </c>
    </row>
    <row r="24" spans="1:16">
      <c r="A24" t="s">
        <v>44</v>
      </c>
      <c r="B24" t="s">
        <v>45</v>
      </c>
      <c r="C24" t="str">
        <f>VLOOKUP('E-impôts'!A24,Feuil2!$A$1:$AA$298,4,0)</f>
        <v>CABINET CFA</v>
      </c>
      <c r="D24" s="1">
        <v>44774</v>
      </c>
      <c r="E24" t="str">
        <f>VLOOKUP('E-impôts'!A24,Feuil2!$A$1:$AA$298,8,0)</f>
        <v>DCK-CGA2022-J077</v>
      </c>
      <c r="F24" t="str">
        <f>VLOOKUP('E-impôts'!A24,Feuil2!$A$1:$AA$298,24,0)</f>
        <v>COCODY ANGRE DJIBI</v>
      </c>
      <c r="G24" t="str">
        <f>VLOOKUP('E-impôts'!A24,Feuil2!$A$1:$AA$298,11,0)</f>
        <v>TEE</v>
      </c>
      <c r="H24" t="str">
        <f>VLOOKUP('E-impôts'!A24,Feuil2!$A$1:$AA$298,10,0)</f>
        <v>SARL</v>
      </c>
      <c r="I24" t="str">
        <f>VLOOKUP('E-impôts'!A24,Feuil2!$A$1:$AA$298,5,0)</f>
        <v>NULL</v>
      </c>
      <c r="J24">
        <f>VLOOKUP('E-impôts'!A24,Feuil2!$A$1:$AA$298,19,0)</f>
        <v>757417993</v>
      </c>
      <c r="K24" t="str">
        <f>VLOOKUP('E-impôts'!A24,Feuil2!$A$1:$AA$298,9,0)</f>
        <v>NULL</v>
      </c>
      <c r="L24" t="str">
        <f>VLOOKUP('E-impôts'!A24,Feuil2!$A$1:$AA$298,15,0)</f>
        <v>II Plateaux Djibi</v>
      </c>
      <c r="M24" t="str">
        <f>VLOOKUP('E-impôts'!A24,Feuil2!$A$1:$AA$298,13,0)</f>
        <v>NULL</v>
      </c>
      <c r="N24" t="str">
        <f>VLOOKUP('E-impôts'!A24,Feuil2!$A$1:$AA$298,14,0)</f>
        <v>NULL</v>
      </c>
      <c r="O24" t="str">
        <f>VLOOKUP('E-impôts'!A24,Feuil2!$A$1:$AA$298,16,0)</f>
        <v>NULL</v>
      </c>
      <c r="P24" t="str">
        <f>VLOOKUP(A24,Feuil2!$A$1:$AA$298,17,0)</f>
        <v>NULL</v>
      </c>
    </row>
    <row r="25" spans="1:16">
      <c r="A25" t="s">
        <v>46</v>
      </c>
      <c r="B25" t="s">
        <v>47</v>
      </c>
      <c r="C25" t="str">
        <f>VLOOKUP('E-impôts'!A25,Feuil2!$A$1:$AA$298,4,0)</f>
        <v>DCK</v>
      </c>
      <c r="D25" s="1">
        <v>44956</v>
      </c>
      <c r="E25" t="str">
        <f>VLOOKUP('E-impôts'!A25,Feuil2!$A$1:$AA$298,8,0)</f>
        <v>DCK-CGA-2022-J031</v>
      </c>
      <c r="F25" t="str">
        <f>VLOOKUP('E-impôts'!A25,Feuil2!$A$1:$AA$298,24,0)</f>
        <v>COCODY BONOUMIN</v>
      </c>
      <c r="G25" t="str">
        <f>VLOOKUP('E-impôts'!A25,Feuil2!$A$1:$AA$298,11,0)</f>
        <v>TEE</v>
      </c>
      <c r="H25" t="str">
        <f>VLOOKUP('E-impôts'!A25,Feuil2!$A$1:$AA$298,10,0)</f>
        <v>SARL</v>
      </c>
      <c r="I25" t="str">
        <f>VLOOKUP('E-impôts'!A25,Feuil2!$A$1:$AA$298,5,0)</f>
        <v xml:space="preserve">DJOGBENOU </v>
      </c>
      <c r="J25">
        <f>VLOOKUP('E-impôts'!A25,Feuil2!$A$1:$AA$298,19,0)</f>
        <v>708414136</v>
      </c>
      <c r="K25" t="str">
        <f>VLOOKUP('E-impôts'!A25,Feuil2!$A$1:$AA$298,9,0)</f>
        <v>CI-ABJ-03-B17-00080</v>
      </c>
      <c r="L25" t="str">
        <f>VLOOKUP('E-impôts'!A25,Feuil2!$A$1:$AA$298,15,0)</f>
        <v>II Plateaux III</v>
      </c>
      <c r="M25" t="str">
        <f>VLOOKUP('E-impôts'!A25,Feuil2!$A$1:$AA$298,13,0)</f>
        <v>AO</v>
      </c>
      <c r="N25">
        <f>VLOOKUP('E-impôts'!A25,Feuil2!$A$1:$AA$298,14,0)</f>
        <v>13</v>
      </c>
      <c r="O25" t="s">
        <v>2384</v>
      </c>
      <c r="P25">
        <f>VLOOKUP(A25,Feuil2!$A$1:$AA$298,17,0)</f>
        <v>10000000</v>
      </c>
    </row>
    <row r="26" spans="1:16">
      <c r="A26" t="s">
        <v>48</v>
      </c>
      <c r="B26" t="s">
        <v>49</v>
      </c>
      <c r="C26" t="e">
        <f>VLOOKUP('E-impôts'!A26,Feuil2!$A$1:$AA$298,4,0)</f>
        <v>#N/A</v>
      </c>
      <c r="D26" s="1">
        <v>43858</v>
      </c>
      <c r="E26" t="str">
        <f>VLOOKUP('E-impôts'!A26,Feuil2!$A$1:$AA$298,8,0)</f>
        <v>DCK-CGA2021-Q147</v>
      </c>
      <c r="F26" t="str">
        <f>VLOOKUP('E-impôts'!A26,Feuil2!$A$1:$AA$298,24,0)</f>
        <v xml:space="preserve">01 BP 10683 ABJ 01 </v>
      </c>
      <c r="G26" t="str">
        <f>VLOOKUP('E-impôts'!A26,Feuil2!$A$1:$AA$298,11,0)</f>
        <v>RME</v>
      </c>
      <c r="H26" t="str">
        <f>VLOOKUP('E-impôts'!A26,Feuil2!$A$1:$AA$298,10,0)</f>
        <v>SARL</v>
      </c>
      <c r="I26" t="str">
        <f>VLOOKUP('E-impôts'!A26,Feuil2!$A$1:$AA$298,5,0)</f>
        <v>YOUZAN AYA ROSINE-LEA Epse N'GUESSAN</v>
      </c>
      <c r="J26">
        <f>VLOOKUP('E-impôts'!A26,Feuil2!$A$1:$AA$298,19,0)</f>
        <v>749933263</v>
      </c>
      <c r="K26" t="str">
        <f>VLOOKUP('E-impôts'!A26,Feuil2!$A$1:$AA$298,9,0)</f>
        <v>CI-ABJ-2019-B-02186</v>
      </c>
      <c r="L26" t="str">
        <f>VLOOKUP('E-impôts'!A26,Feuil2!$A$1:$AA$298,15,0)</f>
        <v>II Pateaux I</v>
      </c>
      <c r="M26" t="str">
        <f>VLOOKUP('E-impôts'!A26,Feuil2!$A$1:$AA$298,13,0)</f>
        <v>ND</v>
      </c>
      <c r="N26" t="str">
        <f>VLOOKUP('E-impôts'!A26,Feuil2!$A$1:$AA$298,14,0)</f>
        <v>ND</v>
      </c>
      <c r="O26" t="str">
        <f>VLOOKUP('E-impôts'!A26,Feuil2!$A$1:$AA$298,16,0)</f>
        <v>IND1504</v>
      </c>
      <c r="P26">
        <f>VLOOKUP(A26,Feuil2!$A$1:$AA$298,17,0)</f>
        <v>1000000</v>
      </c>
    </row>
    <row r="27" spans="1:16">
      <c r="A27" t="s">
        <v>50</v>
      </c>
      <c r="B27" t="s">
        <v>51</v>
      </c>
      <c r="C27" t="str">
        <f>VLOOKUP('E-impôts'!A27,Feuil2!$A$1:$AA$298,4,0)</f>
        <v>MARIAME</v>
      </c>
      <c r="D27" s="1">
        <v>45315</v>
      </c>
      <c r="E27" t="str">
        <f>VLOOKUP('E-impôts'!A27,Feuil2!$A$1:$AA$298,8,0)</f>
        <v>DCK-CGA2024-A023</v>
      </c>
      <c r="F27" t="str">
        <f>VLOOKUP('E-impôts'!A27,Feuil2!$A$1:$AA$298,24,0)</f>
        <v>FAYA</v>
      </c>
      <c r="G27" t="str">
        <f>VLOOKUP('E-impôts'!A27,Feuil2!$A$1:$AA$298,11,0)</f>
        <v>TEE</v>
      </c>
      <c r="H27" t="str">
        <f>VLOOKUP('E-impôts'!A27,Feuil2!$A$1:$AA$298,10,0)</f>
        <v>ENTREPRISE INDIVIDUELLE</v>
      </c>
      <c r="I27" t="str">
        <f>VLOOKUP('E-impôts'!A27,Feuil2!$A$1:$AA$298,5,0)</f>
        <v>TRAZIE LOU NABOUE NADEGE</v>
      </c>
      <c r="J27">
        <f>VLOOKUP('E-impôts'!A27,Feuil2!$A$1:$AA$298,19,0)</f>
        <v>709899557</v>
      </c>
      <c r="K27" t="str">
        <f>VLOOKUP('E-impôts'!A27,Feuil2!$A$1:$AA$298,9,0)</f>
        <v>CI-ABJ-03-2023-A10-02618</v>
      </c>
      <c r="L27" t="str">
        <f>VLOOKUP('E-impôts'!A27,Feuil2!$A$1:$AA$298,15,0)</f>
        <v>II Plateaux III</v>
      </c>
      <c r="M27" t="str">
        <f>VLOOKUP('E-impôts'!A27,Feuil2!$A$1:$AA$298,13,0)</f>
        <v>VZ</v>
      </c>
      <c r="N27">
        <f>VLOOKUP('E-impôts'!A27,Feuil2!$A$1:$AA$298,14,0)</f>
        <v>201</v>
      </c>
      <c r="O27" t="str">
        <f>VLOOKUP('E-impôts'!A27,Feuil2!$A$1:$AA$298,16,0)</f>
        <v>SCE19001</v>
      </c>
      <c r="P27">
        <f>VLOOKUP(A27,Feuil2!$A$1:$AA$298,17,0)</f>
        <v>1000000</v>
      </c>
    </row>
    <row r="28" spans="1:16">
      <c r="A28" t="s">
        <v>52</v>
      </c>
      <c r="B28" t="s">
        <v>53</v>
      </c>
      <c r="C28" t="str">
        <f>VLOOKUP('E-impôts'!A28,Feuil2!$A$1:$AA$298,4,0)</f>
        <v>CABINET CFA</v>
      </c>
      <c r="D28" s="1">
        <v>44589</v>
      </c>
      <c r="E28" t="str">
        <f>VLOOKUP('E-impôts'!A28,Feuil2!$A$1:$AA$298,8,0)</f>
        <v>DCK-CGA2022-J056</v>
      </c>
      <c r="F28" t="str">
        <f>VLOOKUP('E-impôts'!A28,Feuil2!$A$1:$AA$298,24,0)</f>
        <v xml:space="preserve">COCODY  II PLATEAUX AGHIEN </v>
      </c>
      <c r="G28" t="str">
        <f>VLOOKUP('E-impôts'!A28,Feuil2!$A$1:$AA$298,11,0)</f>
        <v>TEE</v>
      </c>
      <c r="H28" t="str">
        <f>VLOOKUP('E-impôts'!A28,Feuil2!$A$1:$AA$298,10,0)</f>
        <v>ENTREPRISE INDIVIDUELLE</v>
      </c>
      <c r="I28" t="str">
        <f>VLOOKUP('E-impôts'!A28,Feuil2!$A$1:$AA$298,5,0)</f>
        <v>NULL</v>
      </c>
      <c r="J28">
        <f>VLOOKUP('E-impôts'!A28,Feuil2!$A$1:$AA$298,19,0)</f>
        <v>2722426745</v>
      </c>
      <c r="K28" t="str">
        <f>VLOOKUP('E-impôts'!A28,Feuil2!$A$1:$AA$298,9,0)</f>
        <v>NULL</v>
      </c>
      <c r="L28" t="str">
        <f>VLOOKUP('E-impôts'!A28,Feuil2!$A$1:$AA$298,15,0)</f>
        <v>II Plateaux III</v>
      </c>
      <c r="M28" t="str">
        <f>VLOOKUP('E-impôts'!A28,Feuil2!$A$1:$AA$298,13,0)</f>
        <v>NULL</v>
      </c>
      <c r="N28" t="str">
        <f>VLOOKUP('E-impôts'!A28,Feuil2!$A$1:$AA$298,14,0)</f>
        <v>NULL</v>
      </c>
      <c r="O28" t="str">
        <f>VLOOKUP('E-impôts'!A28,Feuil2!$A$1:$AA$298,16,0)</f>
        <v>NULL</v>
      </c>
      <c r="P28" t="str">
        <f>VLOOKUP(A28,Feuil2!$A$1:$AA$298,17,0)</f>
        <v>NULL</v>
      </c>
    </row>
    <row r="29" spans="1:16">
      <c r="A29" t="s">
        <v>54</v>
      </c>
      <c r="B29" t="s">
        <v>55</v>
      </c>
      <c r="C29" t="str">
        <f>VLOOKUP('E-impôts'!A29,Feuil2!$A$1:$AA$298,4,0)</f>
        <v>Abdoulaye</v>
      </c>
      <c r="D29" s="1">
        <v>45315</v>
      </c>
      <c r="E29" t="str">
        <f>VLOOKUP('E-impôts'!A29,Feuil2!$A$1:$AA$298,8,0)</f>
        <v>DCK-CGA2024-A022</v>
      </c>
      <c r="F29" t="str">
        <f>VLOOKUP('E-impôts'!A29,Feuil2!$A$1:$AA$298,24,0)</f>
        <v>BINGERVILLE COUP DE FREIN</v>
      </c>
      <c r="G29" t="str">
        <f>VLOOKUP('E-impôts'!A29,Feuil2!$A$1:$AA$298,11,0)</f>
        <v>TEE</v>
      </c>
      <c r="H29" t="str">
        <f>VLOOKUP('E-impôts'!A29,Feuil2!$A$1:$AA$298,10,0)</f>
        <v>ENTREPRISE INDIVIDUELLE</v>
      </c>
      <c r="I29" t="str">
        <f>VLOOKUP('E-impôts'!A29,Feuil2!$A$1:$AA$298,5,0)</f>
        <v xml:space="preserve">TRAN TRONG HOANG </v>
      </c>
      <c r="J29">
        <f>VLOOKUP('E-impôts'!A29,Feuil2!$A$1:$AA$298,19,0)</f>
        <v>708537463</v>
      </c>
      <c r="K29" t="str">
        <f>VLOOKUP('E-impôts'!A29,Feuil2!$A$1:$AA$298,9,0)</f>
        <v>CI-ABJ-2018-A-05921</v>
      </c>
      <c r="L29" t="str">
        <f>VLOOKUP('E-impôts'!A29,Feuil2!$A$1:$AA$298,15,0)</f>
        <v>Bingerville</v>
      </c>
      <c r="M29">
        <f>VLOOKUP('E-impôts'!A29,Feuil2!$A$1:$AA$298,13,0)</f>
        <v>0</v>
      </c>
      <c r="N29">
        <f>VLOOKUP('E-impôts'!A29,Feuil2!$A$1:$AA$298,14,0)</f>
        <v>0</v>
      </c>
      <c r="O29" t="str">
        <f>VLOOKUP('E-impôts'!A29,Feuil2!$A$1:$AA$298,16,0)</f>
        <v>SCE0204</v>
      </c>
      <c r="P29">
        <f>VLOOKUP(A29,Feuil2!$A$1:$AA$298,17,0)</f>
        <v>1000000</v>
      </c>
    </row>
    <row r="30" spans="1:16">
      <c r="A30" t="s">
        <v>56</v>
      </c>
      <c r="B30" t="s">
        <v>57</v>
      </c>
      <c r="C30" t="e">
        <f>VLOOKUP('E-impôts'!A30,Feuil2!$A$1:$AA$298,4,0)</f>
        <v>#N/A</v>
      </c>
      <c r="D30" s="1">
        <v>45318</v>
      </c>
      <c r="E30" t="str">
        <f>VLOOKUP('E-impôts'!A30,Feuil2!$A$1:$AA$298,8,0)</f>
        <v>DCK-CGA2024-A025</v>
      </c>
      <c r="F30" t="str">
        <f>VLOOKUP('E-impôts'!A30,Feuil2!$A$1:$AA$298,24,0)</f>
        <v>2 PLATEAUX VALLON</v>
      </c>
      <c r="G30" t="str">
        <f>VLOOKUP('E-impôts'!A30,Feuil2!$A$1:$AA$298,11,0)</f>
        <v>TEE</v>
      </c>
      <c r="H30" t="str">
        <f>VLOOKUP('E-impôts'!A30,Feuil2!$A$1:$AA$298,10,0)</f>
        <v>SARL</v>
      </c>
      <c r="I30" t="str">
        <f>VLOOKUP('E-impôts'!A30,Feuil2!$A$1:$AA$298,5,0)</f>
        <v>LI XIAOMING</v>
      </c>
      <c r="J30">
        <f>VLOOKUP('E-impôts'!A30,Feuil2!$A$1:$AA$298,19,0)</f>
        <v>711129045</v>
      </c>
      <c r="K30" t="str">
        <f>VLOOKUP('E-impôts'!A30,Feuil2!$A$1:$AA$298,9,0)</f>
        <v>CI-ABJ-03-2022-B13-10636</v>
      </c>
      <c r="L30" t="str">
        <f>VLOOKUP('E-impôts'!A30,Feuil2!$A$1:$AA$298,15,0)</f>
        <v>II Plateaux III</v>
      </c>
      <c r="M30" t="str">
        <f>VLOOKUP('E-impôts'!A30,Feuil2!$A$1:$AA$298,13,0)</f>
        <v>N/D</v>
      </c>
      <c r="N30" t="str">
        <f>VLOOKUP('E-impôts'!A30,Feuil2!$A$1:$AA$298,14,0)</f>
        <v>N/D</v>
      </c>
      <c r="O30" t="str">
        <f>VLOOKUP('E-impôts'!A30,Feuil2!$A$1:$AA$298,16,0)</f>
        <v>N/D</v>
      </c>
      <c r="P30" t="str">
        <f>VLOOKUP(A30,Feuil2!$A$1:$AA$298,17,0)</f>
        <v>1Â 000 000</v>
      </c>
    </row>
    <row r="31" spans="1:16">
      <c r="A31" t="s">
        <v>58</v>
      </c>
      <c r="B31" t="s">
        <v>59</v>
      </c>
      <c r="C31" t="str">
        <f>VLOOKUP('E-impôts'!A31,Feuil2!$A$1:$AA$298,4,0)</f>
        <v>ZADI</v>
      </c>
      <c r="D31" s="1">
        <v>44574</v>
      </c>
      <c r="E31" t="str">
        <f>VLOOKUP('E-impôts'!A31,Feuil2!$A$1:$AA$298,8,0)</f>
        <v>DCK-CGA2020-A074</v>
      </c>
      <c r="F31" t="str">
        <f>VLOOKUP('E-impôts'!A31,Feuil2!$A$1:$AA$298,24,0)</f>
        <v xml:space="preserve">BINGERVILLE </v>
      </c>
      <c r="G31" t="str">
        <f>VLOOKUP('E-impôts'!A31,Feuil2!$A$1:$AA$298,11,0)</f>
        <v>TEE</v>
      </c>
      <c r="H31" t="str">
        <f>VLOOKUP('E-impôts'!A31,Feuil2!$A$1:$AA$298,10,0)</f>
        <v>ENTREPRISE INDIVIDUELLE</v>
      </c>
      <c r="I31" t="str">
        <f>VLOOKUP('E-impôts'!A31,Feuil2!$A$1:$AA$298,5,0)</f>
        <v>NULL</v>
      </c>
      <c r="J31">
        <f>VLOOKUP('E-impôts'!A31,Feuil2!$A$1:$AA$298,19,0)</f>
        <v>506899413</v>
      </c>
      <c r="K31" t="str">
        <f>VLOOKUP('E-impôts'!A31,Feuil2!$A$1:$AA$298,9,0)</f>
        <v>NULL</v>
      </c>
      <c r="L31" t="str">
        <f>VLOOKUP('E-impôts'!A31,Feuil2!$A$1:$AA$298,15,0)</f>
        <v>Bingerville</v>
      </c>
      <c r="M31" t="str">
        <f>VLOOKUP('E-impôts'!A31,Feuil2!$A$1:$AA$298,13,0)</f>
        <v>NULL</v>
      </c>
      <c r="N31" t="str">
        <f>VLOOKUP('E-impôts'!A31,Feuil2!$A$1:$AA$298,14,0)</f>
        <v>NULL</v>
      </c>
      <c r="O31" t="str">
        <f>VLOOKUP('E-impôts'!A31,Feuil2!$A$1:$AA$298,16,0)</f>
        <v>NULL</v>
      </c>
      <c r="P31" t="str">
        <f>VLOOKUP(A31,Feuil2!$A$1:$AA$298,17,0)</f>
        <v>NULL</v>
      </c>
    </row>
    <row r="32" spans="1:16">
      <c r="A32" t="s">
        <v>60</v>
      </c>
      <c r="B32" t="s">
        <v>61</v>
      </c>
      <c r="C32" t="e">
        <f>VLOOKUP('E-impôts'!A32,Feuil2!$A$1:$AA$298,4,0)</f>
        <v>#N/A</v>
      </c>
      <c r="D32" s="1">
        <v>45316</v>
      </c>
      <c r="E32" t="str">
        <f>VLOOKUP('E-impôts'!A32,Feuil2!$A$1:$AA$298,8,0)</f>
        <v>DCK-CGA2024-A030</v>
      </c>
      <c r="F32" t="str">
        <f>VLOOKUP('E-impôts'!A32,Feuil2!$A$1:$AA$298,24,0)</f>
        <v>COCODY 7Ã¨me tranche</v>
      </c>
      <c r="G32" t="str">
        <f>VLOOKUP('E-impôts'!A32,Feuil2!$A$1:$AA$298,11,0)</f>
        <v>TEE</v>
      </c>
      <c r="H32" t="str">
        <f>VLOOKUP('E-impôts'!A32,Feuil2!$A$1:$AA$298,10,0)</f>
        <v>SARL</v>
      </c>
      <c r="I32" t="str">
        <f>VLOOKUP('E-impôts'!A32,Feuil2!$A$1:$AA$298,5,0)</f>
        <v>KONE TENAN ISSA</v>
      </c>
      <c r="J32">
        <f>VLOOKUP('E-impôts'!A32,Feuil2!$A$1:$AA$298,19,0)</f>
        <v>707999183</v>
      </c>
      <c r="K32" t="str">
        <f>VLOOKUP('E-impôts'!A32,Feuil2!$A$1:$AA$298,9,0)</f>
        <v>CI-ABJ-03-2022-B13-11335</v>
      </c>
      <c r="L32" t="str">
        <f>VLOOKUP('E-impôts'!A32,Feuil2!$A$1:$AA$298,15,0)</f>
        <v>Riviera II</v>
      </c>
      <c r="M32">
        <f>VLOOKUP('E-impôts'!A32,Feuil2!$A$1:$AA$298,13,0)</f>
        <v>0</v>
      </c>
      <c r="N32">
        <f>VLOOKUP('E-impôts'!A32,Feuil2!$A$1:$AA$298,14,0)</f>
        <v>0</v>
      </c>
      <c r="O32">
        <f>VLOOKUP('E-impôts'!A32,Feuil2!$A$1:$AA$298,16,0)</f>
        <v>0</v>
      </c>
      <c r="P32">
        <f>VLOOKUP(A32,Feuil2!$A$1:$AA$298,17,0)</f>
        <v>1000000</v>
      </c>
    </row>
    <row r="33" spans="1:16">
      <c r="A33" t="s">
        <v>62</v>
      </c>
      <c r="B33" t="s">
        <v>63</v>
      </c>
      <c r="C33" t="e">
        <f>VLOOKUP('E-impôts'!A33,Feuil2!$A$1:$AA$298,4,0)</f>
        <v>#N/A</v>
      </c>
      <c r="D33" s="1">
        <v>43859</v>
      </c>
      <c r="E33" t="e">
        <f>VLOOKUP('E-impôts'!A33,Feuil2!$A$1:$AA$298,8,0)</f>
        <v>#N/A</v>
      </c>
      <c r="F33" t="e">
        <f>VLOOKUP('E-impôts'!A33,Feuil2!$A$1:$AA$298,24,0)</f>
        <v>#N/A</v>
      </c>
      <c r="G33" t="e">
        <f>VLOOKUP('E-impôts'!A33,Feuil2!$A$1:$AA$298,11,0)</f>
        <v>#N/A</v>
      </c>
      <c r="H33" t="e">
        <f>VLOOKUP('E-impôts'!A33,Feuil2!$A$1:$AA$298,10,0)</f>
        <v>#N/A</v>
      </c>
      <c r="I33" t="e">
        <f>VLOOKUP('E-impôts'!A33,Feuil2!$A$1:$AA$298,5,0)</f>
        <v>#N/A</v>
      </c>
      <c r="J33" t="e">
        <f>VLOOKUP('E-impôts'!A33,Feuil2!$A$1:$AA$298,19,0)</f>
        <v>#N/A</v>
      </c>
      <c r="K33" t="e">
        <f>VLOOKUP('E-impôts'!A33,Feuil2!$A$1:$AA$298,9,0)</f>
        <v>#N/A</v>
      </c>
      <c r="L33" t="e">
        <f>VLOOKUP('E-impôts'!A33,Feuil2!$A$1:$AA$298,15,0)</f>
        <v>#N/A</v>
      </c>
      <c r="M33" t="e">
        <f>VLOOKUP('E-impôts'!A33,Feuil2!$A$1:$AA$298,13,0)</f>
        <v>#N/A</v>
      </c>
      <c r="N33" t="e">
        <f>VLOOKUP('E-impôts'!A33,Feuil2!$A$1:$AA$298,14,0)</f>
        <v>#N/A</v>
      </c>
      <c r="O33" t="e">
        <f>VLOOKUP('E-impôts'!A33,Feuil2!$A$1:$AA$298,16,0)</f>
        <v>#N/A</v>
      </c>
      <c r="P33" t="e">
        <f>VLOOKUP(A33,Feuil2!$A$1:$AA$298,17,0)</f>
        <v>#N/A</v>
      </c>
    </row>
    <row r="34" spans="1:16">
      <c r="A34" t="s">
        <v>64</v>
      </c>
      <c r="B34" t="s">
        <v>65</v>
      </c>
      <c r="C34" t="e">
        <f>VLOOKUP('E-impôts'!A34,Feuil2!$A$1:$AA$298,4,0)</f>
        <v>#N/A</v>
      </c>
      <c r="D34" s="1">
        <v>45315</v>
      </c>
      <c r="E34" t="str">
        <f>VLOOKUP('E-impôts'!A34,Feuil2!$A$1:$AA$298,8,0)</f>
        <v>DCK-CGA2024-A019</v>
      </c>
      <c r="F34" t="str">
        <f>VLOOKUP('E-impôts'!A34,Feuil2!$A$1:$AA$298,24,0)</f>
        <v>II PLATEAUX VALLONS</v>
      </c>
      <c r="G34" t="str">
        <f>VLOOKUP('E-impôts'!A34,Feuil2!$A$1:$AA$298,11,0)</f>
        <v>TEE</v>
      </c>
      <c r="H34" t="str">
        <f>VLOOKUP('E-impôts'!A34,Feuil2!$A$1:$AA$298,10,0)</f>
        <v>SAS</v>
      </c>
      <c r="I34" t="str">
        <f>VLOOKUP('E-impôts'!A34,Feuil2!$A$1:$AA$298,5,0)</f>
        <v>ZARROUK MEHDI</v>
      </c>
      <c r="J34">
        <f>VLOOKUP('E-impôts'!A34,Feuil2!$A$1:$AA$298,19,0)</f>
        <v>778292924</v>
      </c>
      <c r="K34" t="str">
        <f>VLOOKUP('E-impôts'!A34,Feuil2!$A$1:$AA$298,9,0)</f>
        <v>CI-ABJ03-2023-M-15026</v>
      </c>
      <c r="L34" t="str">
        <f>VLOOKUP('E-impôts'!A34,Feuil2!$A$1:$AA$298,15,0)</f>
        <v>II Pateaux II</v>
      </c>
      <c r="M34" t="str">
        <f>VLOOKUP('E-impôts'!A34,Feuil2!$A$1:$AA$298,13,0)</f>
        <v>LS</v>
      </c>
      <c r="N34">
        <f>VLOOKUP('E-impôts'!A34,Feuil2!$A$1:$AA$298,14,0)</f>
        <v>297</v>
      </c>
      <c r="O34" t="str">
        <f>VLOOKUP('E-impôts'!A34,Feuil2!$A$1:$AA$298,16,0)</f>
        <v>SCE1501</v>
      </c>
      <c r="P34">
        <f>VLOOKUP(A34,Feuil2!$A$1:$AA$298,17,0)</f>
        <v>10000000</v>
      </c>
    </row>
    <row r="35" spans="1:16">
      <c r="A35" t="s">
        <v>66</v>
      </c>
      <c r="B35" t="s">
        <v>67</v>
      </c>
      <c r="C35" t="e">
        <f>VLOOKUP('E-impôts'!A35,Feuil2!$A$1:$AA$298,4,0)</f>
        <v>#N/A</v>
      </c>
      <c r="D35" s="1">
        <v>45321</v>
      </c>
      <c r="E35" t="str">
        <f>VLOOKUP('E-impôts'!A35,Feuil2!$A$1:$AA$298,8,0)</f>
        <v>DCK-CGA2024-A081</v>
      </c>
      <c r="F35" t="str">
        <f>VLOOKUP('E-impôts'!A35,Feuil2!$A$1:$AA$298,24,0)</f>
        <v>COCODY RIVIERA FAYA</v>
      </c>
      <c r="G35" t="str">
        <f>VLOOKUP('E-impôts'!A35,Feuil2!$A$1:$AA$298,11,0)</f>
        <v>TEE</v>
      </c>
      <c r="H35" t="str">
        <f>VLOOKUP('E-impôts'!A35,Feuil2!$A$1:$AA$298,10,0)</f>
        <v>SARL</v>
      </c>
      <c r="I35" t="str">
        <f>VLOOKUP('E-impôts'!A35,Feuil2!$A$1:$AA$298,5,0)</f>
        <v xml:space="preserve">DEBRIMOU DANIELLE RENEE </v>
      </c>
      <c r="J35">
        <f>VLOOKUP('E-impôts'!A35,Feuil2!$A$1:$AA$298,19,0)</f>
        <v>142900455</v>
      </c>
      <c r="K35" t="str">
        <f>VLOOKUP('E-impôts'!A35,Feuil2!$A$1:$AA$298,9,0)</f>
        <v>CI-ABJ-03-2023-B12-01206</v>
      </c>
      <c r="L35" t="str">
        <f>VLOOKUP('E-impôts'!A35,Feuil2!$A$1:$AA$298,15,0)</f>
        <v>Riviera II</v>
      </c>
      <c r="M35" t="str">
        <f>VLOOKUP('E-impôts'!A35,Feuil2!$A$1:$AA$298,13,0)</f>
        <v>HR</v>
      </c>
      <c r="N35">
        <f>VLOOKUP('E-impôts'!A35,Feuil2!$A$1:$AA$298,14,0)</f>
        <v>44</v>
      </c>
      <c r="O35" t="s">
        <v>2410</v>
      </c>
      <c r="P35">
        <f>VLOOKUP(A35,Feuil2!$A$1:$AA$298,17,0)</f>
        <v>5000000</v>
      </c>
    </row>
    <row r="36" spans="1:16">
      <c r="A36" t="s">
        <v>68</v>
      </c>
      <c r="B36" t="s">
        <v>69</v>
      </c>
      <c r="C36" t="str">
        <f>VLOOKUP('E-impôts'!A36,Feuil2!$A$1:$AA$298,4,0)</f>
        <v>CABINET CFA</v>
      </c>
      <c r="D36" s="1">
        <v>44224</v>
      </c>
      <c r="E36" t="str">
        <f>VLOOKUP('E-impôts'!A36,Feuil2!$A$1:$AA$298,8,0)</f>
        <v>DCK-CGA2021-Q168</v>
      </c>
      <c r="F36" t="str">
        <f>VLOOKUP('E-impôts'!A36,Feuil2!$A$1:$AA$298,24,0)</f>
        <v>COCODY, RIVIERA PALMERAIE</v>
      </c>
      <c r="G36" t="str">
        <f>VLOOKUP('E-impôts'!A36,Feuil2!$A$1:$AA$298,11,0)</f>
        <v>TEE</v>
      </c>
      <c r="H36" t="str">
        <f>VLOOKUP('E-impôts'!A36,Feuil2!$A$1:$AA$298,10,0)</f>
        <v>SARL</v>
      </c>
      <c r="I36" t="str">
        <f>VLOOKUP('E-impôts'!A36,Feuil2!$A$1:$AA$298,5,0)</f>
        <v>NULL</v>
      </c>
      <c r="J36">
        <f>VLOOKUP('E-impôts'!A36,Feuil2!$A$1:$AA$298,19,0)</f>
        <v>767552335</v>
      </c>
      <c r="K36" t="str">
        <f>VLOOKUP('E-impôts'!A36,Feuil2!$A$1:$AA$298,9,0)</f>
        <v>NULL</v>
      </c>
      <c r="L36" t="str">
        <f>VLOOKUP('E-impôts'!A36,Feuil2!$A$1:$AA$298,15,0)</f>
        <v xml:space="preserve">Riviera I </v>
      </c>
      <c r="M36" t="str">
        <f>VLOOKUP('E-impôts'!A36,Feuil2!$A$1:$AA$298,13,0)</f>
        <v>NULL</v>
      </c>
      <c r="N36" t="str">
        <f>VLOOKUP('E-impôts'!A36,Feuil2!$A$1:$AA$298,14,0)</f>
        <v>NULL</v>
      </c>
      <c r="O36" t="str">
        <f>VLOOKUP('E-impôts'!A36,Feuil2!$A$1:$AA$298,16,0)</f>
        <v>NULL</v>
      </c>
      <c r="P36" t="str">
        <f>VLOOKUP(A36,Feuil2!$A$1:$AA$298,17,0)</f>
        <v>NULL</v>
      </c>
    </row>
    <row r="37" spans="1:16">
      <c r="A37" t="s">
        <v>2415</v>
      </c>
      <c r="B37" t="s">
        <v>71</v>
      </c>
      <c r="C37" t="e">
        <f>VLOOKUP('E-impôts'!A37,Feuil2!$A$1:$AA$298,4,0)</f>
        <v>#N/A</v>
      </c>
      <c r="D37" s="1">
        <v>44589</v>
      </c>
      <c r="E37" t="e">
        <f>VLOOKUP('E-impôts'!A37,Feuil2!$A$1:$AA$298,8,0)</f>
        <v>#N/A</v>
      </c>
      <c r="F37" t="e">
        <f>VLOOKUP('E-impôts'!A37,Feuil2!$A$1:$AA$298,24,0)</f>
        <v>#N/A</v>
      </c>
      <c r="G37" t="e">
        <f>VLOOKUP('E-impôts'!A37,Feuil2!$A$1:$AA$298,11,0)</f>
        <v>#N/A</v>
      </c>
      <c r="H37" t="e">
        <f>VLOOKUP('E-impôts'!A37,Feuil2!$A$1:$AA$298,10,0)</f>
        <v>#N/A</v>
      </c>
      <c r="I37" t="e">
        <f>VLOOKUP('E-impôts'!A37,Feuil2!$A$1:$AA$298,5,0)</f>
        <v>#N/A</v>
      </c>
      <c r="J37" t="e">
        <f>VLOOKUP('E-impôts'!A37,Feuil2!$A$1:$AA$298,19,0)</f>
        <v>#N/A</v>
      </c>
      <c r="K37" t="e">
        <f>VLOOKUP('E-impôts'!A37,Feuil2!$A$1:$AA$298,9,0)</f>
        <v>#N/A</v>
      </c>
      <c r="L37" t="e">
        <f>VLOOKUP('E-impôts'!A37,Feuil2!$A$1:$AA$298,15,0)</f>
        <v>#N/A</v>
      </c>
      <c r="M37" t="e">
        <f>VLOOKUP('E-impôts'!A37,Feuil2!$A$1:$AA$298,13,0)</f>
        <v>#N/A</v>
      </c>
      <c r="N37" t="e">
        <f>VLOOKUP('E-impôts'!A37,Feuil2!$A$1:$AA$298,14,0)</f>
        <v>#N/A</v>
      </c>
      <c r="O37" t="e">
        <f>VLOOKUP('E-impôts'!A37,Feuil2!$A$1:$AA$298,16,0)</f>
        <v>#N/A</v>
      </c>
      <c r="P37" t="e">
        <f>VLOOKUP(A37,Feuil2!$A$1:$AA$298,17,0)</f>
        <v>#N/A</v>
      </c>
    </row>
    <row r="38" spans="1:16">
      <c r="A38" t="s">
        <v>72</v>
      </c>
      <c r="B38" t="s">
        <v>73</v>
      </c>
      <c r="C38" t="e">
        <f>VLOOKUP('E-impôts'!A38,Feuil2!$A$1:$AA$298,4,0)</f>
        <v>#N/A</v>
      </c>
      <c r="D38" s="1">
        <v>45322</v>
      </c>
      <c r="E38" t="str">
        <f>VLOOKUP('E-impôts'!A38,Feuil2!$A$1:$AA$298,8,0)</f>
        <v>DCK-CGA2024-A002</v>
      </c>
      <c r="F38" t="str">
        <f>VLOOKUP('E-impôts'!A38,Feuil2!$A$1:$AA$298,24,0)</f>
        <v>ABIDJAN COCODY ANGRE STAR 6</v>
      </c>
      <c r="G38" t="str">
        <f>VLOOKUP('E-impôts'!A38,Feuil2!$A$1:$AA$298,11,0)</f>
        <v>TEE</v>
      </c>
      <c r="H38" t="str">
        <f>VLOOKUP('E-impôts'!A38,Feuil2!$A$1:$AA$298,10,0)</f>
        <v>SARL</v>
      </c>
      <c r="I38" t="str">
        <f>VLOOKUP('E-impôts'!A38,Feuil2!$A$1:$AA$298,5,0)</f>
        <v>OSNOU YOBOUET EDJEM AWA JACQUELINE EPSE DJIRE</v>
      </c>
      <c r="J38" t="str">
        <f>VLOOKUP('E-impôts'!A38,Feuil2!$A$1:$AA$298,19,0)</f>
        <v>07 59 37 49 20</v>
      </c>
      <c r="K38" t="str">
        <f>VLOOKUP('E-impôts'!A38,Feuil2!$A$1:$AA$298,9,0)</f>
        <v>CI-ABI-2014-B-8078</v>
      </c>
      <c r="L38" t="str">
        <f>VLOOKUP('E-impôts'!A38,Feuil2!$A$1:$AA$298,15,0)</f>
        <v>II Pateaux I</v>
      </c>
      <c r="M38" t="str">
        <f>VLOOKUP('E-impôts'!A38,Feuil2!$A$1:$AA$298,13,0)</f>
        <v>DO</v>
      </c>
      <c r="N38">
        <f>VLOOKUP('E-impôts'!A38,Feuil2!$A$1:$AA$298,14,0)</f>
        <v>99</v>
      </c>
      <c r="O38" t="str">
        <f>VLOOKUP('E-impôts'!A38,Feuil2!$A$1:$AA$298,16,0)</f>
        <v>CCE1701</v>
      </c>
      <c r="P38">
        <f>VLOOKUP(A38,Feuil2!$A$1:$AA$298,17,0)</f>
        <v>1000000</v>
      </c>
    </row>
    <row r="39" spans="1:16">
      <c r="A39" t="s">
        <v>74</v>
      </c>
      <c r="B39" t="s">
        <v>75</v>
      </c>
      <c r="C39" t="str">
        <f>VLOOKUP('E-impôts'!A39,Feuil2!$A$1:$AA$298,4,0)</f>
        <v>CABINET CFA</v>
      </c>
      <c r="D39" s="1">
        <v>43871</v>
      </c>
      <c r="E39" t="str">
        <f>VLOOKUP('E-impôts'!A39,Feuil2!$A$1:$AA$298,8,0)</f>
        <v>DCK-CGA2020-A100</v>
      </c>
      <c r="F39" t="str">
        <f>VLOOKUP('E-impôts'!A39,Feuil2!$A$1:$AA$298,24,0)</f>
        <v>COCODY CAFFEIER II</v>
      </c>
      <c r="G39" t="str">
        <f>VLOOKUP('E-impôts'!A39,Feuil2!$A$1:$AA$298,11,0)</f>
        <v>TEE</v>
      </c>
      <c r="H39" t="str">
        <f>VLOOKUP('E-impôts'!A39,Feuil2!$A$1:$AA$298,10,0)</f>
        <v>ENTREPRISE INDIVIDUELLE</v>
      </c>
      <c r="I39" t="str">
        <f>VLOOKUP('E-impôts'!A39,Feuil2!$A$1:$AA$298,5,0)</f>
        <v>NULL</v>
      </c>
      <c r="J39">
        <f>VLOOKUP('E-impôts'!A39,Feuil2!$A$1:$AA$298,19,0)</f>
        <v>707347436</v>
      </c>
      <c r="K39" t="str">
        <f>VLOOKUP('E-impôts'!A39,Feuil2!$A$1:$AA$298,9,0)</f>
        <v>NULL</v>
      </c>
      <c r="L39" t="str">
        <f>VLOOKUP('E-impôts'!A39,Feuil2!$A$1:$AA$298,15,0)</f>
        <v>II Plateaux I</v>
      </c>
      <c r="M39" t="str">
        <f>VLOOKUP('E-impôts'!A39,Feuil2!$A$1:$AA$298,13,0)</f>
        <v>NULL</v>
      </c>
      <c r="N39" t="str">
        <f>VLOOKUP('E-impôts'!A39,Feuil2!$A$1:$AA$298,14,0)</f>
        <v>NULL</v>
      </c>
      <c r="O39" t="str">
        <f>VLOOKUP('E-impôts'!A39,Feuil2!$A$1:$AA$298,16,0)</f>
        <v>NULL</v>
      </c>
      <c r="P39" t="str">
        <f>VLOOKUP(A39,Feuil2!$A$1:$AA$298,17,0)</f>
        <v>NULL</v>
      </c>
    </row>
    <row r="40" spans="1:16">
      <c r="A40" t="s">
        <v>76</v>
      </c>
      <c r="B40" t="s">
        <v>77</v>
      </c>
      <c r="C40" t="e">
        <f>VLOOKUP('E-impôts'!A40,Feuil2!$A$1:$AA$298,4,0)</f>
        <v>#N/A</v>
      </c>
      <c r="D40" s="1">
        <v>45322</v>
      </c>
      <c r="E40" t="str">
        <f>VLOOKUP('E-impôts'!A40,Feuil2!$A$1:$AA$298,8,0)</f>
        <v>DCK-CGA2024-A052</v>
      </c>
      <c r="F40" t="str">
        <f>VLOOKUP('E-impôts'!A40,Feuil2!$A$1:$AA$298,24,0)</f>
        <v>COCODY RIVIERA ABATTA NOUVEAU GOUDRON VERS BLD SIR CITE PRESTIGE 2</v>
      </c>
      <c r="G40" t="str">
        <f>VLOOKUP('E-impôts'!A40,Feuil2!$A$1:$AA$298,11,0)</f>
        <v>TEE</v>
      </c>
      <c r="H40" t="str">
        <f>VLOOKUP('E-impôts'!A40,Feuil2!$A$1:$AA$298,10,0)</f>
        <v>SARL</v>
      </c>
      <c r="I40" t="str">
        <f>VLOOKUP('E-impôts'!A40,Feuil2!$A$1:$AA$298,5,0)</f>
        <v>COULIBALY ISMAEL</v>
      </c>
      <c r="J40">
        <f>VLOOKUP('E-impôts'!A40,Feuil2!$A$1:$AA$298,19,0)</f>
        <v>707336407</v>
      </c>
      <c r="K40" t="str">
        <f>VLOOKUP('E-impôts'!A40,Feuil2!$A$1:$AA$298,9,0)</f>
        <v>CI-ABJ-03-2022-B13-04073</v>
      </c>
      <c r="L40" t="str">
        <f>VLOOKUP('E-impôts'!A40,Feuil2!$A$1:$AA$298,15,0)</f>
        <v>Riviera II</v>
      </c>
      <c r="M40">
        <f>VLOOKUP('E-impôts'!A40,Feuil2!$A$1:$AA$298,13,0)</f>
        <v>0</v>
      </c>
      <c r="N40">
        <f>VLOOKUP('E-impôts'!A40,Feuil2!$A$1:$AA$298,14,0)</f>
        <v>0</v>
      </c>
      <c r="O40" t="str">
        <f>VLOOKUP('E-impôts'!A40,Feuil2!$A$1:$AA$298,16,0)</f>
        <v>SCE0801</v>
      </c>
      <c r="P40">
        <f>VLOOKUP(A40,Feuil2!$A$1:$AA$298,17,0)</f>
        <v>1000000</v>
      </c>
    </row>
    <row r="41" spans="1:16">
      <c r="A41" t="s">
        <v>78</v>
      </c>
      <c r="B41" t="s">
        <v>79</v>
      </c>
      <c r="C41" t="str">
        <f>VLOOKUP('E-impôts'!A41,Feuil2!$A$1:$AA$298,4,0)</f>
        <v>CABINET CFA</v>
      </c>
      <c r="D41" s="1">
        <v>44224</v>
      </c>
      <c r="E41" t="str">
        <f>VLOOKUP('E-impôts'!A41,Feuil2!$A$1:$AA$298,8,0)</f>
        <v>DCK-CGA2021-Q-162</v>
      </c>
      <c r="F41" t="str">
        <f>VLOOKUP('E-impôts'!A41,Feuil2!$A$1:$AA$298,24,0)</f>
        <v>ANGRE ANCIEN MARCHÃ‰</v>
      </c>
      <c r="G41" t="str">
        <f>VLOOKUP('E-impôts'!A41,Feuil2!$A$1:$AA$298,11,0)</f>
        <v>TEE</v>
      </c>
      <c r="H41" t="str">
        <f>VLOOKUP('E-impôts'!A41,Feuil2!$A$1:$AA$298,10,0)</f>
        <v>SARL</v>
      </c>
      <c r="I41" t="str">
        <f>VLOOKUP('E-impôts'!A41,Feuil2!$A$1:$AA$298,5,0)</f>
        <v>NULL</v>
      </c>
      <c r="J41">
        <f>VLOOKUP('E-impôts'!A41,Feuil2!$A$1:$AA$298,19,0)</f>
        <v>747755863</v>
      </c>
      <c r="K41" t="str">
        <f>VLOOKUP('E-impôts'!A41,Feuil2!$A$1:$AA$298,9,0)</f>
        <v>NULL</v>
      </c>
      <c r="L41" t="str">
        <f>VLOOKUP('E-impôts'!A41,Feuil2!$A$1:$AA$298,15,0)</f>
        <v>II Plateaux I</v>
      </c>
      <c r="M41" t="str">
        <f>VLOOKUP('E-impôts'!A41,Feuil2!$A$1:$AA$298,13,0)</f>
        <v>NULL</v>
      </c>
      <c r="N41" t="str">
        <f>VLOOKUP('E-impôts'!A41,Feuil2!$A$1:$AA$298,14,0)</f>
        <v>NULL</v>
      </c>
      <c r="O41" t="str">
        <f>VLOOKUP('E-impôts'!A41,Feuil2!$A$1:$AA$298,16,0)</f>
        <v>NULL</v>
      </c>
      <c r="P41" t="str">
        <f>VLOOKUP(A41,Feuil2!$A$1:$AA$298,17,0)</f>
        <v>NULL</v>
      </c>
    </row>
    <row r="42" spans="1:16">
      <c r="A42" t="s">
        <v>80</v>
      </c>
      <c r="B42" t="s">
        <v>81</v>
      </c>
      <c r="C42" t="e">
        <f>VLOOKUP('E-impôts'!A42,Feuil2!$A$1:$AA$298,4,0)</f>
        <v>#N/A</v>
      </c>
      <c r="D42" s="1">
        <v>44224</v>
      </c>
      <c r="E42" t="e">
        <f>VLOOKUP('E-impôts'!A42,Feuil2!$A$1:$AA$298,8,0)</f>
        <v>#N/A</v>
      </c>
      <c r="F42" t="e">
        <f>VLOOKUP('E-impôts'!A42,Feuil2!$A$1:$AA$298,24,0)</f>
        <v>#N/A</v>
      </c>
      <c r="G42" t="e">
        <f>VLOOKUP('E-impôts'!A42,Feuil2!$A$1:$AA$298,11,0)</f>
        <v>#N/A</v>
      </c>
      <c r="H42" t="e">
        <f>VLOOKUP('E-impôts'!A42,Feuil2!$A$1:$AA$298,10,0)</f>
        <v>#N/A</v>
      </c>
      <c r="I42" t="e">
        <f>VLOOKUP('E-impôts'!A42,Feuil2!$A$1:$AA$298,5,0)</f>
        <v>#N/A</v>
      </c>
      <c r="J42" t="e">
        <f>VLOOKUP('E-impôts'!A42,Feuil2!$A$1:$AA$298,19,0)</f>
        <v>#N/A</v>
      </c>
      <c r="K42" t="e">
        <f>VLOOKUP('E-impôts'!A42,Feuil2!$A$1:$AA$298,9,0)</f>
        <v>#N/A</v>
      </c>
      <c r="L42" t="e">
        <f>VLOOKUP('E-impôts'!A42,Feuil2!$A$1:$AA$298,15,0)</f>
        <v>#N/A</v>
      </c>
      <c r="M42" t="e">
        <f>VLOOKUP('E-impôts'!A42,Feuil2!$A$1:$AA$298,13,0)</f>
        <v>#N/A</v>
      </c>
      <c r="N42" t="e">
        <f>VLOOKUP('E-impôts'!A42,Feuil2!$A$1:$AA$298,14,0)</f>
        <v>#N/A</v>
      </c>
      <c r="O42" t="e">
        <f>VLOOKUP('E-impôts'!A42,Feuil2!$A$1:$AA$298,16,0)</f>
        <v>#N/A</v>
      </c>
      <c r="P42" t="e">
        <f>VLOOKUP(A42,Feuil2!$A$1:$AA$298,17,0)</f>
        <v>#N/A</v>
      </c>
    </row>
    <row r="43" spans="1:16">
      <c r="A43" t="s">
        <v>82</v>
      </c>
      <c r="B43" t="s">
        <v>83</v>
      </c>
      <c r="C43" t="str">
        <f>VLOOKUP('E-impôts'!A43,Feuil2!$A$1:$AA$298,4,0)</f>
        <v xml:space="preserve">GOHI </v>
      </c>
      <c r="D43" s="1">
        <v>44472</v>
      </c>
      <c r="E43" t="str">
        <f>VLOOKUP('E-impôts'!A43,Feuil2!$A$1:$AA$298,8,0)</f>
        <v>DCK-CGA2021-Q184</v>
      </c>
      <c r="F43" t="str">
        <f>VLOOKUP('E-impôts'!A43,Feuil2!$A$1:$AA$298,24,0)</f>
        <v xml:space="preserve">COCODY II PLATEAUX </v>
      </c>
      <c r="G43" t="str">
        <f>VLOOKUP('E-impôts'!A43,Feuil2!$A$1:$AA$298,11,0)</f>
        <v>TEE</v>
      </c>
      <c r="H43" t="str">
        <f>VLOOKUP('E-impôts'!A43,Feuil2!$A$1:$AA$298,10,0)</f>
        <v>SARL</v>
      </c>
      <c r="I43" t="str">
        <f>VLOOKUP('E-impôts'!A43,Feuil2!$A$1:$AA$298,5,0)</f>
        <v>NULL</v>
      </c>
      <c r="J43">
        <f>VLOOKUP('E-impôts'!A43,Feuil2!$A$1:$AA$298,19,0)</f>
        <v>757921316</v>
      </c>
      <c r="K43" t="str">
        <f>VLOOKUP('E-impôts'!A43,Feuil2!$A$1:$AA$298,9,0)</f>
        <v>NULL</v>
      </c>
      <c r="L43" t="str">
        <f>VLOOKUP('E-impôts'!A43,Feuil2!$A$1:$AA$298,15,0)</f>
        <v>II Plateaux II</v>
      </c>
      <c r="M43" t="str">
        <f>VLOOKUP('E-impôts'!A43,Feuil2!$A$1:$AA$298,13,0)</f>
        <v>NULL</v>
      </c>
      <c r="N43" t="str">
        <f>VLOOKUP('E-impôts'!A43,Feuil2!$A$1:$AA$298,14,0)</f>
        <v>NULL</v>
      </c>
      <c r="O43" t="str">
        <f>VLOOKUP('E-impôts'!A43,Feuil2!$A$1:$AA$298,16,0)</f>
        <v>NULL</v>
      </c>
      <c r="P43" t="str">
        <f>VLOOKUP(A43,Feuil2!$A$1:$AA$298,17,0)</f>
        <v>NULL</v>
      </c>
    </row>
    <row r="44" spans="1:16">
      <c r="A44" t="s">
        <v>84</v>
      </c>
      <c r="B44" t="s">
        <v>85</v>
      </c>
      <c r="C44" t="e">
        <f>VLOOKUP('E-impôts'!A44,Feuil2!$A$1:$AA$298,4,0)</f>
        <v>#N/A</v>
      </c>
      <c r="D44" s="1">
        <v>44628</v>
      </c>
      <c r="E44" t="e">
        <f>VLOOKUP('E-impôts'!A44,Feuil2!$A$1:$AA$298,8,0)</f>
        <v>#N/A</v>
      </c>
      <c r="F44" t="e">
        <f>VLOOKUP('E-impôts'!A44,Feuil2!$A$1:$AA$298,24,0)</f>
        <v>#N/A</v>
      </c>
      <c r="G44" t="e">
        <f>VLOOKUP('E-impôts'!A44,Feuil2!$A$1:$AA$298,11,0)</f>
        <v>#N/A</v>
      </c>
      <c r="H44" t="e">
        <f>VLOOKUP('E-impôts'!A44,Feuil2!$A$1:$AA$298,10,0)</f>
        <v>#N/A</v>
      </c>
      <c r="I44" t="e">
        <f>VLOOKUP('E-impôts'!A44,Feuil2!$A$1:$AA$298,5,0)</f>
        <v>#N/A</v>
      </c>
      <c r="J44" t="e">
        <f>VLOOKUP('E-impôts'!A44,Feuil2!$A$1:$AA$298,19,0)</f>
        <v>#N/A</v>
      </c>
      <c r="K44" t="e">
        <f>VLOOKUP('E-impôts'!A44,Feuil2!$A$1:$AA$298,9,0)</f>
        <v>#N/A</v>
      </c>
      <c r="L44" t="e">
        <f>VLOOKUP('E-impôts'!A44,Feuil2!$A$1:$AA$298,15,0)</f>
        <v>#N/A</v>
      </c>
      <c r="M44" t="e">
        <f>VLOOKUP('E-impôts'!A44,Feuil2!$A$1:$AA$298,13,0)</f>
        <v>#N/A</v>
      </c>
      <c r="N44" t="e">
        <f>VLOOKUP('E-impôts'!A44,Feuil2!$A$1:$AA$298,14,0)</f>
        <v>#N/A</v>
      </c>
      <c r="O44" t="e">
        <f>VLOOKUP('E-impôts'!A44,Feuil2!$A$1:$AA$298,16,0)</f>
        <v>#N/A</v>
      </c>
      <c r="P44" t="e">
        <f>VLOOKUP(A44,Feuil2!$A$1:$AA$298,17,0)</f>
        <v>#N/A</v>
      </c>
    </row>
    <row r="45" spans="1:16">
      <c r="A45" t="s">
        <v>86</v>
      </c>
      <c r="B45" t="s">
        <v>87</v>
      </c>
      <c r="C45" t="str">
        <f>VLOOKUP('E-impôts'!A45,Feuil2!$A$1:$AA$298,4,0)</f>
        <v>DCK</v>
      </c>
      <c r="D45" s="1">
        <v>45309</v>
      </c>
      <c r="E45" t="str">
        <f>VLOOKUP('E-impôts'!A45,Feuil2!$A$1:$AA$298,8,0)</f>
        <v>DCK-CGA2024-A008</v>
      </c>
      <c r="F45" t="str">
        <f>VLOOKUP('E-impôts'!A45,Feuil2!$A$1:$AA$298,24,0)</f>
        <v>ABIDJAN-COCODY-RIVIERA-ABATTA-CARREFOUR MOSQUE</v>
      </c>
      <c r="G45" t="str">
        <f>VLOOKUP('E-impôts'!A45,Feuil2!$A$1:$AA$298,11,0)</f>
        <v>TEE</v>
      </c>
      <c r="H45" t="str">
        <f>VLOOKUP('E-impôts'!A45,Feuil2!$A$1:$AA$298,10,0)</f>
        <v>SARL</v>
      </c>
      <c r="I45" t="s">
        <v>2411</v>
      </c>
      <c r="J45">
        <f>VLOOKUP('E-impôts'!A45,Feuil2!$A$1:$AA$298,19,0)</f>
        <v>788194883</v>
      </c>
      <c r="K45" t="str">
        <f>VLOOKUP('E-impôts'!A45,Feuil2!$A$1:$AA$298,9,0)</f>
        <v>CI-ABJ-03-2023-B13-03049</v>
      </c>
      <c r="L45">
        <f>VLOOKUP('E-impôts'!A45,Feuil2!$A$1:$AA$298,15,0)</f>
        <v>0</v>
      </c>
      <c r="M45" t="str">
        <f>VLOOKUP('E-impôts'!A45,Feuil2!$A$1:$AA$298,13,0)</f>
        <v>IX</v>
      </c>
      <c r="N45">
        <f>VLOOKUP('E-impôts'!A45,Feuil2!$A$1:$AA$298,14,0)</f>
        <v>173</v>
      </c>
      <c r="O45" t="s">
        <v>2399</v>
      </c>
      <c r="P45">
        <f>VLOOKUP(A45,Feuil2!$A$1:$AA$298,17,0)</f>
        <v>2000000</v>
      </c>
    </row>
    <row r="46" spans="1:16">
      <c r="A46" t="s">
        <v>88</v>
      </c>
      <c r="B46" t="s">
        <v>89</v>
      </c>
      <c r="C46" t="str">
        <f>VLOOKUP('E-impôts'!A46,Feuil2!$A$1:$AA$298,4,0)</f>
        <v>KOFFI ALBERT</v>
      </c>
      <c r="D46" s="1">
        <v>44935</v>
      </c>
      <c r="E46" t="str">
        <f>VLOOKUP('E-impôts'!A46,Feuil2!$A$1:$AA$298,8,0)</f>
        <v>DCK-CGA2023-J002</v>
      </c>
      <c r="F46" t="str">
        <f>VLOOKUP('E-impôts'!A46,Feuil2!$A$1:$AA$298,24,0)</f>
        <v xml:space="preserve">BINGERVILLE </v>
      </c>
      <c r="G46" t="str">
        <f>VLOOKUP('E-impôts'!A46,Feuil2!$A$1:$AA$298,11,0)</f>
        <v>TEE</v>
      </c>
      <c r="H46" t="str">
        <f>VLOOKUP('E-impôts'!A46,Feuil2!$A$1:$AA$298,10,0)</f>
        <v>SARL</v>
      </c>
      <c r="I46" t="str">
        <f>VLOOKUP('E-impôts'!A46,Feuil2!$A$1:$AA$298,5,0)</f>
        <v>NULL</v>
      </c>
      <c r="J46">
        <f>VLOOKUP('E-impôts'!A46,Feuil2!$A$1:$AA$298,19,0)</f>
        <v>584483480</v>
      </c>
      <c r="K46" t="str">
        <f>VLOOKUP('E-impôts'!A46,Feuil2!$A$1:$AA$298,9,0)</f>
        <v>NULL</v>
      </c>
      <c r="L46" t="str">
        <f>VLOOKUP('E-impôts'!A46,Feuil2!$A$1:$AA$298,15,0)</f>
        <v>Bingerville</v>
      </c>
      <c r="M46" t="str">
        <f>VLOOKUP('E-impôts'!A46,Feuil2!$A$1:$AA$298,13,0)</f>
        <v>NULL</v>
      </c>
      <c r="N46" t="str">
        <f>VLOOKUP('E-impôts'!A46,Feuil2!$A$1:$AA$298,14,0)</f>
        <v>NULL</v>
      </c>
      <c r="O46" t="str">
        <f>VLOOKUP('E-impôts'!A46,Feuil2!$A$1:$AA$298,16,0)</f>
        <v>NULL</v>
      </c>
      <c r="P46" t="str">
        <f>VLOOKUP(A46,Feuil2!$A$1:$AA$298,17,0)</f>
        <v>NULL</v>
      </c>
    </row>
    <row r="47" spans="1:16">
      <c r="A47" t="s">
        <v>90</v>
      </c>
      <c r="B47" t="s">
        <v>91</v>
      </c>
      <c r="C47" t="e">
        <f>VLOOKUP('E-impôts'!A47,Feuil2!$A$1:$AA$298,4,0)</f>
        <v>#N/A</v>
      </c>
      <c r="D47" s="1">
        <v>43479</v>
      </c>
      <c r="E47" t="e">
        <f>VLOOKUP('E-impôts'!A47,Feuil2!$A$1:$AA$298,8,0)</f>
        <v>#N/A</v>
      </c>
      <c r="F47" t="e">
        <f>VLOOKUP('E-impôts'!A47,Feuil2!$A$1:$AA$298,24,0)</f>
        <v>#N/A</v>
      </c>
      <c r="G47" t="e">
        <f>VLOOKUP('E-impôts'!A47,Feuil2!$A$1:$AA$298,11,0)</f>
        <v>#N/A</v>
      </c>
      <c r="H47" t="e">
        <f>VLOOKUP('E-impôts'!A47,Feuil2!$A$1:$AA$298,10,0)</f>
        <v>#N/A</v>
      </c>
      <c r="I47" t="e">
        <f>VLOOKUP('E-impôts'!A47,Feuil2!$A$1:$AA$298,5,0)</f>
        <v>#N/A</v>
      </c>
      <c r="J47" t="e">
        <f>VLOOKUP('E-impôts'!A47,Feuil2!$A$1:$AA$298,19,0)</f>
        <v>#N/A</v>
      </c>
      <c r="K47" t="e">
        <f>VLOOKUP('E-impôts'!A47,Feuil2!$A$1:$AA$298,9,0)</f>
        <v>#N/A</v>
      </c>
      <c r="L47" t="e">
        <f>VLOOKUP('E-impôts'!A47,Feuil2!$A$1:$AA$298,15,0)</f>
        <v>#N/A</v>
      </c>
      <c r="M47" t="e">
        <f>VLOOKUP('E-impôts'!A47,Feuil2!$A$1:$AA$298,13,0)</f>
        <v>#N/A</v>
      </c>
      <c r="N47" t="e">
        <f>VLOOKUP('E-impôts'!A47,Feuil2!$A$1:$AA$298,14,0)</f>
        <v>#N/A</v>
      </c>
      <c r="O47" t="e">
        <f>VLOOKUP('E-impôts'!A47,Feuil2!$A$1:$AA$298,16,0)</f>
        <v>#N/A</v>
      </c>
      <c r="P47" t="e">
        <f>VLOOKUP(A47,Feuil2!$A$1:$AA$298,17,0)</f>
        <v>#N/A</v>
      </c>
    </row>
    <row r="48" spans="1:16">
      <c r="A48" t="s">
        <v>92</v>
      </c>
      <c r="B48" t="s">
        <v>93</v>
      </c>
      <c r="C48" t="e">
        <f>VLOOKUP('E-impôts'!A48,Feuil2!$A$1:$AA$298,4,0)</f>
        <v>#N/A</v>
      </c>
      <c r="D48" s="1">
        <v>44574</v>
      </c>
      <c r="E48" t="e">
        <f>VLOOKUP('E-impôts'!A48,Feuil2!$A$1:$AA$298,8,0)</f>
        <v>#N/A</v>
      </c>
      <c r="F48" t="e">
        <f>VLOOKUP('E-impôts'!A48,Feuil2!$A$1:$AA$298,24,0)</f>
        <v>#N/A</v>
      </c>
      <c r="G48" t="e">
        <f>VLOOKUP('E-impôts'!A48,Feuil2!$A$1:$AA$298,11,0)</f>
        <v>#N/A</v>
      </c>
      <c r="H48" t="e">
        <f>VLOOKUP('E-impôts'!A48,Feuil2!$A$1:$AA$298,10,0)</f>
        <v>#N/A</v>
      </c>
      <c r="I48" t="e">
        <f>VLOOKUP('E-impôts'!A48,Feuil2!$A$1:$AA$298,5,0)</f>
        <v>#N/A</v>
      </c>
      <c r="J48" t="e">
        <f>VLOOKUP('E-impôts'!A48,Feuil2!$A$1:$AA$298,19,0)</f>
        <v>#N/A</v>
      </c>
      <c r="K48" t="e">
        <f>VLOOKUP('E-impôts'!A48,Feuil2!$A$1:$AA$298,9,0)</f>
        <v>#N/A</v>
      </c>
      <c r="L48" t="e">
        <f>VLOOKUP('E-impôts'!A48,Feuil2!$A$1:$AA$298,15,0)</f>
        <v>#N/A</v>
      </c>
      <c r="M48" t="e">
        <f>VLOOKUP('E-impôts'!A48,Feuil2!$A$1:$AA$298,13,0)</f>
        <v>#N/A</v>
      </c>
      <c r="N48" t="e">
        <f>VLOOKUP('E-impôts'!A48,Feuil2!$A$1:$AA$298,14,0)</f>
        <v>#N/A</v>
      </c>
      <c r="O48" t="e">
        <f>VLOOKUP('E-impôts'!A48,Feuil2!$A$1:$AA$298,16,0)</f>
        <v>#N/A</v>
      </c>
      <c r="P48" t="e">
        <f>VLOOKUP(A48,Feuil2!$A$1:$AA$298,17,0)</f>
        <v>#N/A</v>
      </c>
    </row>
    <row r="49" spans="1:16">
      <c r="A49" t="s">
        <v>94</v>
      </c>
      <c r="B49" t="s">
        <v>95</v>
      </c>
      <c r="C49" t="e">
        <f>VLOOKUP('E-impôts'!A49,Feuil2!$A$1:$AA$298,4,0)</f>
        <v>#N/A</v>
      </c>
      <c r="D49" s="1">
        <v>44774</v>
      </c>
      <c r="E49" t="e">
        <f>VLOOKUP('E-impôts'!A49,Feuil2!$A$1:$AA$298,8,0)</f>
        <v>#N/A</v>
      </c>
      <c r="F49" t="e">
        <f>VLOOKUP('E-impôts'!A49,Feuil2!$A$1:$AA$298,24,0)</f>
        <v>#N/A</v>
      </c>
      <c r="G49" t="e">
        <f>VLOOKUP('E-impôts'!A49,Feuil2!$A$1:$AA$298,11,0)</f>
        <v>#N/A</v>
      </c>
      <c r="H49" t="e">
        <f>VLOOKUP('E-impôts'!A49,Feuil2!$A$1:$AA$298,10,0)</f>
        <v>#N/A</v>
      </c>
      <c r="I49" t="e">
        <f>VLOOKUP('E-impôts'!A49,Feuil2!$A$1:$AA$298,5,0)</f>
        <v>#N/A</v>
      </c>
      <c r="J49" t="e">
        <f>VLOOKUP('E-impôts'!A49,Feuil2!$A$1:$AA$298,19,0)</f>
        <v>#N/A</v>
      </c>
      <c r="K49" t="e">
        <f>VLOOKUP('E-impôts'!A49,Feuil2!$A$1:$AA$298,9,0)</f>
        <v>#N/A</v>
      </c>
      <c r="L49" t="e">
        <f>VLOOKUP('E-impôts'!A49,Feuil2!$A$1:$AA$298,15,0)</f>
        <v>#N/A</v>
      </c>
      <c r="M49" t="e">
        <f>VLOOKUP('E-impôts'!A49,Feuil2!$A$1:$AA$298,13,0)</f>
        <v>#N/A</v>
      </c>
      <c r="N49" t="e">
        <f>VLOOKUP('E-impôts'!A49,Feuil2!$A$1:$AA$298,14,0)</f>
        <v>#N/A</v>
      </c>
      <c r="O49" t="e">
        <f>VLOOKUP('E-impôts'!A49,Feuil2!$A$1:$AA$298,16,0)</f>
        <v>#N/A</v>
      </c>
      <c r="P49" t="e">
        <f>VLOOKUP(A49,Feuil2!$A$1:$AA$298,17,0)</f>
        <v>#N/A</v>
      </c>
    </row>
    <row r="50" spans="1:16">
      <c r="A50" t="s">
        <v>96</v>
      </c>
      <c r="B50" t="s">
        <v>97</v>
      </c>
      <c r="C50" t="e">
        <f>VLOOKUP('E-impôts'!A50,Feuil2!$A$1:$AA$298,4,0)</f>
        <v>#N/A</v>
      </c>
      <c r="D50" s="1">
        <v>44585</v>
      </c>
      <c r="E50" t="e">
        <f>VLOOKUP('E-impôts'!A50,Feuil2!$A$1:$AA$298,8,0)</f>
        <v>#N/A</v>
      </c>
      <c r="F50" t="e">
        <f>VLOOKUP('E-impôts'!A50,Feuil2!$A$1:$AA$298,24,0)</f>
        <v>#N/A</v>
      </c>
      <c r="G50" t="e">
        <f>VLOOKUP('E-impôts'!A50,Feuil2!$A$1:$AA$298,11,0)</f>
        <v>#N/A</v>
      </c>
      <c r="H50" t="e">
        <f>VLOOKUP('E-impôts'!A50,Feuil2!$A$1:$AA$298,10,0)</f>
        <v>#N/A</v>
      </c>
      <c r="I50" t="e">
        <f>VLOOKUP('E-impôts'!A50,Feuil2!$A$1:$AA$298,5,0)</f>
        <v>#N/A</v>
      </c>
      <c r="J50" t="e">
        <f>VLOOKUP('E-impôts'!A50,Feuil2!$A$1:$AA$298,19,0)</f>
        <v>#N/A</v>
      </c>
      <c r="K50" t="e">
        <f>VLOOKUP('E-impôts'!A50,Feuil2!$A$1:$AA$298,9,0)</f>
        <v>#N/A</v>
      </c>
      <c r="L50" t="e">
        <f>VLOOKUP('E-impôts'!A50,Feuil2!$A$1:$AA$298,15,0)</f>
        <v>#N/A</v>
      </c>
      <c r="M50" t="e">
        <f>VLOOKUP('E-impôts'!A50,Feuil2!$A$1:$AA$298,13,0)</f>
        <v>#N/A</v>
      </c>
      <c r="N50" t="e">
        <f>VLOOKUP('E-impôts'!A50,Feuil2!$A$1:$AA$298,14,0)</f>
        <v>#N/A</v>
      </c>
      <c r="O50" t="e">
        <f>VLOOKUP('E-impôts'!A50,Feuil2!$A$1:$AA$298,16,0)</f>
        <v>#N/A</v>
      </c>
      <c r="P50" t="e">
        <f>VLOOKUP(A50,Feuil2!$A$1:$AA$298,17,0)</f>
        <v>#N/A</v>
      </c>
    </row>
    <row r="51" spans="1:16">
      <c r="A51" t="s">
        <v>98</v>
      </c>
      <c r="B51" t="s">
        <v>99</v>
      </c>
      <c r="C51" t="e">
        <f>VLOOKUP('E-impôts'!A51,Feuil2!$A$1:$AA$298,4,0)</f>
        <v>#N/A</v>
      </c>
      <c r="D51" s="1">
        <v>45320</v>
      </c>
      <c r="E51" t="str">
        <f>VLOOKUP('E-impôts'!A51,Feuil2!$A$1:$AA$298,8,0)</f>
        <v>DCK-CGA2024-A026</v>
      </c>
      <c r="F51" t="str">
        <f>VLOOKUP('E-impôts'!A51,Feuil2!$A$1:$AA$298,24,0)</f>
        <v>COCODY RIVIERA PALMERAIE/ CENTRE COMMUNAUTAIRE URBAIN</v>
      </c>
      <c r="G51" t="str">
        <f>VLOOKUP('E-impôts'!A51,Feuil2!$A$1:$AA$298,11,0)</f>
        <v>TEE</v>
      </c>
      <c r="H51" t="str">
        <f>VLOOKUP('E-impôts'!A51,Feuil2!$A$1:$AA$298,10,0)</f>
        <v>ENTREPRISE INDIVIDUELLE</v>
      </c>
      <c r="I51" t="str">
        <f>VLOOKUP('E-impôts'!A51,Feuil2!$A$1:$AA$298,5,0)</f>
        <v>SEYDOU SANOGO</v>
      </c>
      <c r="J51" t="str">
        <f>VLOOKUP('E-impôts'!A51,Feuil2!$A$1:$AA$298,19,0)</f>
        <v>01 01 10 16 65</v>
      </c>
      <c r="K51" t="str">
        <f>VLOOKUP('E-impôts'!A51,Feuil2!$A$1:$AA$298,9,0)</f>
        <v>CI-ABJ-2015-A-19315</v>
      </c>
      <c r="L51" t="str">
        <f>VLOOKUP('E-impôts'!A51,Feuil2!$A$1:$AA$298,15,0)</f>
        <v>II Plateaux III</v>
      </c>
      <c r="M51" t="str">
        <f>VLOOKUP('E-impôts'!A51,Feuil2!$A$1:$AA$298,13,0)</f>
        <v>TX</v>
      </c>
      <c r="N51">
        <f>VLOOKUP('E-impôts'!A51,Feuil2!$A$1:$AA$298,14,0)</f>
        <v>16</v>
      </c>
      <c r="O51" t="str">
        <f>VLOOKUP('E-impôts'!A51,Feuil2!$A$1:$AA$298,16,0)</f>
        <v>N/D</v>
      </c>
      <c r="P51" t="str">
        <f>VLOOKUP(A51,Feuil2!$A$1:$AA$298,17,0)</f>
        <v>N/D</v>
      </c>
    </row>
    <row r="52" spans="1:16">
      <c r="A52" t="s">
        <v>100</v>
      </c>
      <c r="B52" t="s">
        <v>101</v>
      </c>
      <c r="C52" t="str">
        <f>VLOOKUP('E-impôts'!A52,Feuil2!$A$1:$AA$298,4,0)</f>
        <v>ZADI</v>
      </c>
      <c r="D52" s="1">
        <v>44585</v>
      </c>
      <c r="E52" t="str">
        <f>VLOOKUP('E-impôts'!A52,Feuil2!$A$1:$AA$298,8,0)</f>
        <v>DCK-CGA2022-J005</v>
      </c>
      <c r="F52" t="str">
        <f>VLOOKUP('E-impôts'!A52,Feuil2!$A$1:$AA$298,24,0)</f>
        <v>COCODY RIVIERA</v>
      </c>
      <c r="G52" t="str">
        <f>VLOOKUP('E-impôts'!A52,Feuil2!$A$1:$AA$298,11,0)</f>
        <v>TEE</v>
      </c>
      <c r="H52" t="str">
        <f>VLOOKUP('E-impôts'!A52,Feuil2!$A$1:$AA$298,10,0)</f>
        <v>ENTREPRISE INDIVIDUELLE</v>
      </c>
      <c r="I52" t="str">
        <f>VLOOKUP('E-impôts'!A52,Feuil2!$A$1:$AA$298,5,0)</f>
        <v>NULL</v>
      </c>
      <c r="J52">
        <f>VLOOKUP('E-impôts'!A52,Feuil2!$A$1:$AA$298,19,0)</f>
        <v>1424820022</v>
      </c>
      <c r="K52" t="str">
        <f>VLOOKUP('E-impôts'!A52,Feuil2!$A$1:$AA$298,9,0)</f>
        <v>NULL</v>
      </c>
      <c r="L52" t="str">
        <f>VLOOKUP('E-impôts'!A52,Feuil2!$A$1:$AA$298,15,0)</f>
        <v>Bingerville</v>
      </c>
      <c r="M52" t="str">
        <f>VLOOKUP('E-impôts'!A52,Feuil2!$A$1:$AA$298,13,0)</f>
        <v>NULL</v>
      </c>
      <c r="N52" t="str">
        <f>VLOOKUP('E-impôts'!A52,Feuil2!$A$1:$AA$298,14,0)</f>
        <v>NULL</v>
      </c>
      <c r="O52" t="str">
        <f>VLOOKUP('E-impôts'!A52,Feuil2!$A$1:$AA$298,16,0)</f>
        <v>NULL</v>
      </c>
      <c r="P52" t="str">
        <f>VLOOKUP(A52,Feuil2!$A$1:$AA$298,17,0)</f>
        <v>NULL</v>
      </c>
    </row>
    <row r="53" spans="1:16">
      <c r="A53" t="s">
        <v>102</v>
      </c>
      <c r="B53" t="s">
        <v>103</v>
      </c>
      <c r="C53" t="str">
        <f>VLOOKUP('E-impôts'!A53,Feuil2!$A$1:$AA$298,4,0)</f>
        <v>GOHI</v>
      </c>
      <c r="D53" s="1">
        <v>44957</v>
      </c>
      <c r="E53" t="str">
        <f>VLOOKUP('E-impôts'!A53,Feuil2!$A$1:$AA$298,8,0)</f>
        <v>DCK-CGA2023-J035</v>
      </c>
      <c r="F53" t="str">
        <f>VLOOKUP('E-impôts'!A53,Feuil2!$A$1:$AA$298,24,0)</f>
        <v xml:space="preserve">COCODY RIVIERA BONOUMIN </v>
      </c>
      <c r="G53" t="str">
        <f>VLOOKUP('E-impôts'!A53,Feuil2!$A$1:$AA$298,11,0)</f>
        <v>TEE</v>
      </c>
      <c r="H53" t="str">
        <f>VLOOKUP('E-impôts'!A53,Feuil2!$A$1:$AA$298,10,0)</f>
        <v>SARL</v>
      </c>
      <c r="I53" t="str">
        <f>VLOOKUP('E-impôts'!A53,Feuil2!$A$1:$AA$298,5,0)</f>
        <v>NULL</v>
      </c>
      <c r="J53">
        <f>VLOOKUP('E-impôts'!A53,Feuil2!$A$1:$AA$298,19,0)</f>
        <v>708824664</v>
      </c>
      <c r="K53" t="str">
        <f>VLOOKUP('E-impôts'!A53,Feuil2!$A$1:$AA$298,9,0)</f>
        <v>NULL</v>
      </c>
      <c r="L53" t="str">
        <f>VLOOKUP('E-impôts'!A53,Feuil2!$A$1:$AA$298,15,0)</f>
        <v>Riviera II</v>
      </c>
      <c r="M53" t="str">
        <f>VLOOKUP('E-impôts'!A53,Feuil2!$A$1:$AA$298,13,0)</f>
        <v>NULL</v>
      </c>
      <c r="N53" t="str">
        <f>VLOOKUP('E-impôts'!A53,Feuil2!$A$1:$AA$298,14,0)</f>
        <v>NULL</v>
      </c>
      <c r="O53" t="str">
        <f>VLOOKUP('E-impôts'!A53,Feuil2!$A$1:$AA$298,16,0)</f>
        <v>NULL</v>
      </c>
      <c r="P53" t="str">
        <f>VLOOKUP(A53,Feuil2!$A$1:$AA$298,17,0)</f>
        <v>NULL</v>
      </c>
    </row>
    <row r="54" spans="1:16">
      <c r="A54" t="s">
        <v>104</v>
      </c>
      <c r="B54" t="s">
        <v>105</v>
      </c>
      <c r="C54" t="str">
        <f>VLOOKUP('E-impôts'!A54,Feuil2!$A$1:$AA$298,4,0)</f>
        <v>ZADI</v>
      </c>
      <c r="D54" s="1">
        <v>44585</v>
      </c>
      <c r="E54" t="str">
        <f>VLOOKUP('E-impôts'!A54,Feuil2!$A$1:$AA$298,8,0)</f>
        <v>DCK-CGA2020-A071</v>
      </c>
      <c r="F54" t="str">
        <f>VLOOKUP('E-impôts'!A54,Feuil2!$A$1:$AA$298,24,0)</f>
        <v xml:space="preserve">BINGERVILLE </v>
      </c>
      <c r="G54" t="str">
        <f>VLOOKUP('E-impôts'!A54,Feuil2!$A$1:$AA$298,11,0)</f>
        <v>TEE</v>
      </c>
      <c r="H54" t="str">
        <f>VLOOKUP('E-impôts'!A54,Feuil2!$A$1:$AA$298,10,0)</f>
        <v>ENTREPRISE INDIVIDUELLE</v>
      </c>
      <c r="I54" t="str">
        <f>VLOOKUP('E-impôts'!A54,Feuil2!$A$1:$AA$298,5,0)</f>
        <v>NULL</v>
      </c>
      <c r="J54">
        <f>VLOOKUP('E-impôts'!A54,Feuil2!$A$1:$AA$298,19,0)</f>
        <v>0</v>
      </c>
      <c r="K54" t="str">
        <f>VLOOKUP('E-impôts'!A54,Feuil2!$A$1:$AA$298,9,0)</f>
        <v>NULL</v>
      </c>
      <c r="L54" t="str">
        <f>VLOOKUP('E-impôts'!A54,Feuil2!$A$1:$AA$298,15,0)</f>
        <v>Bingerville</v>
      </c>
      <c r="M54" t="str">
        <f>VLOOKUP('E-impôts'!A54,Feuil2!$A$1:$AA$298,13,0)</f>
        <v>NULL</v>
      </c>
      <c r="N54" t="str">
        <f>VLOOKUP('E-impôts'!A54,Feuil2!$A$1:$AA$298,14,0)</f>
        <v>NULL</v>
      </c>
      <c r="O54" t="str">
        <f>VLOOKUP('E-impôts'!A54,Feuil2!$A$1:$AA$298,16,0)</f>
        <v>NULL</v>
      </c>
      <c r="P54" t="str">
        <f>VLOOKUP(A54,Feuil2!$A$1:$AA$298,17,0)</f>
        <v>NULL</v>
      </c>
    </row>
    <row r="55" spans="1:16">
      <c r="A55" t="s">
        <v>106</v>
      </c>
      <c r="B55" t="s">
        <v>107</v>
      </c>
      <c r="C55" t="str">
        <f>VLOOKUP('E-impôts'!A55,Feuil2!$A$1:$AA$298,4,0)</f>
        <v>DCK</v>
      </c>
      <c r="D55" s="1">
        <v>44564</v>
      </c>
      <c r="E55" t="str">
        <f>VLOOKUP('E-impôts'!A55,Feuil2!$A$1:$AA$298,8,0)</f>
        <v>DCK-CGA-2022-J002</v>
      </c>
      <c r="F55" t="str">
        <f>VLOOKUP('E-impôts'!A55,Feuil2!$A$1:$AA$298,24,0)</f>
        <v xml:space="preserve">COCODY RIVIERA GOLF  ANONO </v>
      </c>
      <c r="G55" t="str">
        <f>VLOOKUP('E-impôts'!A55,Feuil2!$A$1:$AA$298,11,0)</f>
        <v>TEE</v>
      </c>
      <c r="H55" t="str">
        <f>VLOOKUP('E-impôts'!A55,Feuil2!$A$1:$AA$298,10,0)</f>
        <v>SARL</v>
      </c>
      <c r="I55" t="s">
        <v>2381</v>
      </c>
      <c r="J55">
        <f>VLOOKUP('E-impôts'!A55,Feuil2!$A$1:$AA$298,19,0)</f>
        <v>566284952</v>
      </c>
      <c r="K55" t="str">
        <f>VLOOKUP('E-impôts'!A55,Feuil2!$A$1:$AA$298,9,0)</f>
        <v>NULL</v>
      </c>
      <c r="L55" t="str">
        <f>VLOOKUP('E-impôts'!A55,Feuil2!$A$1:$AA$298,15,0)</f>
        <v xml:space="preserve">Riviera I </v>
      </c>
      <c r="M55" t="str">
        <f>VLOOKUP('E-impôts'!A55,Feuil2!$A$1:$AA$298,13,0)</f>
        <v>NULL</v>
      </c>
      <c r="N55" t="str">
        <f>VLOOKUP('E-impôts'!A55,Feuil2!$A$1:$AA$298,14,0)</f>
        <v>NULL</v>
      </c>
      <c r="O55" t="s">
        <v>2374</v>
      </c>
      <c r="P55" t="str">
        <f>VLOOKUP(A55,Feuil2!$A$1:$AA$298,17,0)</f>
        <v>NULL</v>
      </c>
    </row>
    <row r="56" spans="1:16">
      <c r="A56" t="s">
        <v>108</v>
      </c>
      <c r="B56" t="s">
        <v>109</v>
      </c>
      <c r="C56" t="e">
        <f>VLOOKUP('E-impôts'!A56,Feuil2!$A$1:$AA$298,4,0)</f>
        <v>#N/A</v>
      </c>
      <c r="D56" s="1">
        <v>45321</v>
      </c>
      <c r="E56" t="e">
        <f>VLOOKUP('E-impôts'!A56,Feuil2!$A$1:$AA$298,8,0)</f>
        <v>#N/A</v>
      </c>
      <c r="F56" t="e">
        <f>VLOOKUP('E-impôts'!A56,Feuil2!$A$1:$AA$298,24,0)</f>
        <v>#N/A</v>
      </c>
      <c r="G56" t="e">
        <f>VLOOKUP('E-impôts'!A56,Feuil2!$A$1:$AA$298,11,0)</f>
        <v>#N/A</v>
      </c>
      <c r="H56" t="e">
        <f>VLOOKUP('E-impôts'!A56,Feuil2!$A$1:$AA$298,10,0)</f>
        <v>#N/A</v>
      </c>
      <c r="I56" t="e">
        <f>VLOOKUP('E-impôts'!A56,Feuil2!$A$1:$AA$298,5,0)</f>
        <v>#N/A</v>
      </c>
      <c r="J56" t="e">
        <f>VLOOKUP('E-impôts'!A56,Feuil2!$A$1:$AA$298,19,0)</f>
        <v>#N/A</v>
      </c>
      <c r="K56" t="e">
        <f>VLOOKUP('E-impôts'!A56,Feuil2!$A$1:$AA$298,9,0)</f>
        <v>#N/A</v>
      </c>
      <c r="L56" t="e">
        <f>VLOOKUP('E-impôts'!A56,Feuil2!$A$1:$AA$298,15,0)</f>
        <v>#N/A</v>
      </c>
      <c r="M56" t="e">
        <f>VLOOKUP('E-impôts'!A56,Feuil2!$A$1:$AA$298,13,0)</f>
        <v>#N/A</v>
      </c>
      <c r="N56" t="e">
        <f>VLOOKUP('E-impôts'!A56,Feuil2!$A$1:$AA$298,14,0)</f>
        <v>#N/A</v>
      </c>
      <c r="O56" t="e">
        <f>VLOOKUP('E-impôts'!A56,Feuil2!$A$1:$AA$298,16,0)</f>
        <v>#N/A</v>
      </c>
      <c r="P56" t="e">
        <f>VLOOKUP(A56,Feuil2!$A$1:$AA$298,17,0)</f>
        <v>#N/A</v>
      </c>
    </row>
    <row r="57" spans="1:16">
      <c r="A57" t="s">
        <v>110</v>
      </c>
      <c r="B57" t="s">
        <v>111</v>
      </c>
      <c r="C57" t="e">
        <f>VLOOKUP('E-impôts'!A57,Feuil2!$A$1:$AA$298,4,0)</f>
        <v>#N/A</v>
      </c>
      <c r="D57" s="1">
        <v>45315</v>
      </c>
      <c r="E57" t="str">
        <f>VLOOKUP('E-impôts'!A57,Feuil2!$A$1:$AA$298,8,0)</f>
        <v>DCK-CGA2024-A020</v>
      </c>
      <c r="F57" t="str">
        <f>VLOOKUP('E-impôts'!A57,Feuil2!$A$1:$AA$298,24,0)</f>
        <v>ABATTA CARREFOUR BECEAO</v>
      </c>
      <c r="G57" t="str">
        <f>VLOOKUP('E-impôts'!A57,Feuil2!$A$1:$AA$298,11,0)</f>
        <v>TEE</v>
      </c>
      <c r="H57" t="str">
        <f>VLOOKUP('E-impôts'!A57,Feuil2!$A$1:$AA$298,10,0)</f>
        <v>ENTREPRISE INDIVIDUELLE</v>
      </c>
      <c r="I57" t="str">
        <f>VLOOKUP('E-impôts'!A57,Feuil2!$A$1:$AA$298,5,0)</f>
        <v>SAGNON EPSE SANOKO</v>
      </c>
      <c r="J57">
        <f>VLOOKUP('E-impôts'!A57,Feuil2!$A$1:$AA$298,19,0)</f>
        <v>505714618</v>
      </c>
      <c r="K57" t="str">
        <f>VLOOKUP('E-impôts'!A57,Feuil2!$A$1:$AA$298,9,0)</f>
        <v>CI-ABJ-2019-A-18838</v>
      </c>
      <c r="L57" t="str">
        <f>VLOOKUP('E-impôts'!A57,Feuil2!$A$1:$AA$298,15,0)</f>
        <v>II Plateaux III</v>
      </c>
      <c r="M57" t="str">
        <f>VLOOKUP('E-impôts'!A57,Feuil2!$A$1:$AA$298,13,0)</f>
        <v>IZ</v>
      </c>
      <c r="N57">
        <f>VLOOKUP('E-impôts'!A57,Feuil2!$A$1:$AA$298,14,0)</f>
        <v>12</v>
      </c>
      <c r="O57" t="str">
        <f>VLOOKUP('E-impôts'!A57,Feuil2!$A$1:$AA$298,16,0)</f>
        <v>ART0705</v>
      </c>
      <c r="P57">
        <f>VLOOKUP(A57,Feuil2!$A$1:$AA$298,17,0)</f>
        <v>1000000</v>
      </c>
    </row>
    <row r="58" spans="1:16">
      <c r="A58" t="s">
        <v>112</v>
      </c>
      <c r="B58" t="s">
        <v>113</v>
      </c>
      <c r="C58" t="e">
        <f>VLOOKUP('E-impôts'!A58,Feuil2!$A$1:$AA$298,4,0)</f>
        <v>#N/A</v>
      </c>
      <c r="D58" s="1">
        <v>45316</v>
      </c>
      <c r="E58" t="str">
        <f>VLOOKUP('E-impôts'!A58,Feuil2!$A$1:$AA$298,8,0)</f>
        <v>DCK-CGA2024-A048</v>
      </c>
      <c r="F58" t="str">
        <f>VLOOKUP('E-impôts'!A58,Feuil2!$A$1:$AA$298,24,0)</f>
        <v>COCODY RIVIERA 2</v>
      </c>
      <c r="G58" t="str">
        <f>VLOOKUP('E-impôts'!A58,Feuil2!$A$1:$AA$298,11,0)</f>
        <v>TEE</v>
      </c>
      <c r="H58" t="str">
        <f>VLOOKUP('E-impôts'!A58,Feuil2!$A$1:$AA$298,10,0)</f>
        <v>SARL</v>
      </c>
      <c r="I58" t="str">
        <f>VLOOKUP('E-impôts'!A58,Feuil2!$A$1:$AA$298,5,0)</f>
        <v>KONE BRAHIMA</v>
      </c>
      <c r="J58">
        <f>VLOOKUP('E-impôts'!A58,Feuil2!$A$1:$AA$298,19,0)</f>
        <v>757723842</v>
      </c>
      <c r="K58" t="str">
        <f>VLOOKUP('E-impôts'!A58,Feuil2!$A$1:$AA$298,9,0)</f>
        <v>CI-ABJ-03-2022-B 13-08-07</v>
      </c>
      <c r="L58" t="str">
        <f>VLOOKUP('E-impôts'!A58,Feuil2!$A$1:$AA$298,15,0)</f>
        <v>II Plateaux III</v>
      </c>
      <c r="M58">
        <f>VLOOKUP('E-impôts'!A58,Feuil2!$A$1:$AA$298,13,0)</f>
        <v>0</v>
      </c>
      <c r="N58">
        <f>VLOOKUP('E-impôts'!A58,Feuil2!$A$1:$AA$298,14,0)</f>
        <v>0</v>
      </c>
      <c r="O58" t="str">
        <f>VLOOKUP('E-impôts'!A58,Feuil2!$A$1:$AA$298,16,0)</f>
        <v>IND2302</v>
      </c>
      <c r="P58">
        <f>VLOOKUP(A58,Feuil2!$A$1:$AA$298,17,0)</f>
        <v>1000000</v>
      </c>
    </row>
    <row r="59" spans="1:16">
      <c r="A59" t="s">
        <v>114</v>
      </c>
      <c r="B59" t="s">
        <v>115</v>
      </c>
      <c r="C59" t="e">
        <f>VLOOKUP('E-impôts'!A59,Feuil2!$A$1:$AA$298,4,0)</f>
        <v>#N/A</v>
      </c>
      <c r="D59" s="1">
        <v>44986</v>
      </c>
      <c r="E59" t="e">
        <f>VLOOKUP('E-impôts'!A59,Feuil2!$A$1:$AA$298,8,0)</f>
        <v>#N/A</v>
      </c>
      <c r="F59" t="e">
        <f>VLOOKUP('E-impôts'!A59,Feuil2!$A$1:$AA$298,24,0)</f>
        <v>#N/A</v>
      </c>
      <c r="G59" t="e">
        <f>VLOOKUP('E-impôts'!A59,Feuil2!$A$1:$AA$298,11,0)</f>
        <v>#N/A</v>
      </c>
      <c r="H59" t="e">
        <f>VLOOKUP('E-impôts'!A59,Feuil2!$A$1:$AA$298,10,0)</f>
        <v>#N/A</v>
      </c>
      <c r="I59" t="e">
        <f>VLOOKUP('E-impôts'!A59,Feuil2!$A$1:$AA$298,5,0)</f>
        <v>#N/A</v>
      </c>
      <c r="J59" t="e">
        <f>VLOOKUP('E-impôts'!A59,Feuil2!$A$1:$AA$298,19,0)</f>
        <v>#N/A</v>
      </c>
      <c r="K59" t="e">
        <f>VLOOKUP('E-impôts'!A59,Feuil2!$A$1:$AA$298,9,0)</f>
        <v>#N/A</v>
      </c>
      <c r="L59" t="e">
        <f>VLOOKUP('E-impôts'!A59,Feuil2!$A$1:$AA$298,15,0)</f>
        <v>#N/A</v>
      </c>
      <c r="M59" t="e">
        <f>VLOOKUP('E-impôts'!A59,Feuil2!$A$1:$AA$298,13,0)</f>
        <v>#N/A</v>
      </c>
      <c r="N59" t="e">
        <f>VLOOKUP('E-impôts'!A59,Feuil2!$A$1:$AA$298,14,0)</f>
        <v>#N/A</v>
      </c>
      <c r="O59" t="e">
        <f>VLOOKUP('E-impôts'!A59,Feuil2!$A$1:$AA$298,16,0)</f>
        <v>#N/A</v>
      </c>
      <c r="P59" t="e">
        <f>VLOOKUP(A59,Feuil2!$A$1:$AA$298,17,0)</f>
        <v>#N/A</v>
      </c>
    </row>
    <row r="60" spans="1:16">
      <c r="A60" t="s">
        <v>116</v>
      </c>
      <c r="B60" t="s">
        <v>117</v>
      </c>
      <c r="C60" t="str">
        <f>VLOOKUP('E-impôts'!A60,Feuil2!$A$1:$AA$298,4,0)</f>
        <v>CABINET CFA</v>
      </c>
      <c r="D60" s="1">
        <v>44224</v>
      </c>
      <c r="E60" t="str">
        <f>VLOOKUP('E-impôts'!A60,Feuil2!$A$1:$AA$298,8,0)</f>
        <v>DCK-CGA2021-Q151</v>
      </c>
      <c r="F60" t="str">
        <f>VLOOKUP('E-impôts'!A60,Feuil2!$A$1:$AA$298,24,0)</f>
        <v>COCODY ANGRE 7E TRANCHE</v>
      </c>
      <c r="G60" t="str">
        <f>VLOOKUP('E-impôts'!A60,Feuil2!$A$1:$AA$298,11,0)</f>
        <v>TEE</v>
      </c>
      <c r="H60" t="str">
        <f>VLOOKUP('E-impôts'!A60,Feuil2!$A$1:$AA$298,10,0)</f>
        <v>SARL</v>
      </c>
      <c r="I60" t="str">
        <f>VLOOKUP('E-impôts'!A60,Feuil2!$A$1:$AA$298,5,0)</f>
        <v>NULL</v>
      </c>
      <c r="J60">
        <f>VLOOKUP('E-impôts'!A60,Feuil2!$A$1:$AA$298,19,0)</f>
        <v>506898900</v>
      </c>
      <c r="K60" t="str">
        <f>VLOOKUP('E-impôts'!A60,Feuil2!$A$1:$AA$298,9,0)</f>
        <v>NULL</v>
      </c>
      <c r="L60" t="str">
        <f>VLOOKUP('E-impôts'!A60,Feuil2!$A$1:$AA$298,15,0)</f>
        <v>II Plateaux III</v>
      </c>
      <c r="M60" t="str">
        <f>VLOOKUP('E-impôts'!A60,Feuil2!$A$1:$AA$298,13,0)</f>
        <v>NULL</v>
      </c>
      <c r="N60" t="str">
        <f>VLOOKUP('E-impôts'!A60,Feuil2!$A$1:$AA$298,14,0)</f>
        <v>NULL</v>
      </c>
      <c r="O60" t="str">
        <f>VLOOKUP('E-impôts'!A60,Feuil2!$A$1:$AA$298,16,0)</f>
        <v>NULL</v>
      </c>
      <c r="P60" t="str">
        <f>VLOOKUP(A60,Feuil2!$A$1:$AA$298,17,0)</f>
        <v>NULL</v>
      </c>
    </row>
    <row r="61" spans="1:16">
      <c r="A61" t="s">
        <v>118</v>
      </c>
      <c r="B61" t="s">
        <v>119</v>
      </c>
      <c r="C61" t="str">
        <f>VLOOKUP('E-impôts'!A61,Feuil2!$A$1:$AA$298,4,0)</f>
        <v>DCK</v>
      </c>
      <c r="D61" s="1">
        <v>44953</v>
      </c>
      <c r="E61" t="str">
        <f>VLOOKUP('E-impôts'!A61,Feuil2!$A$1:$AA$298,8,0)</f>
        <v>DCK-CGA-2023-J019</v>
      </c>
      <c r="F61" t="str">
        <f>VLOOKUP('E-impôts'!A61,Feuil2!$A$1:$AA$298,24,0)</f>
        <v>COCODY RIVIERA 3</v>
      </c>
      <c r="G61" t="str">
        <f>VLOOKUP('E-impôts'!A61,Feuil2!$A$1:$AA$298,11,0)</f>
        <v>TEE</v>
      </c>
      <c r="H61" t="str">
        <f>VLOOKUP('E-impôts'!A61,Feuil2!$A$1:$AA$298,10,0)</f>
        <v>SARL</v>
      </c>
      <c r="I61" t="str">
        <f>VLOOKUP('E-impôts'!A61,Feuil2!$A$1:$AA$298,5,0)</f>
        <v>BARRY FACINET</v>
      </c>
      <c r="J61">
        <f>VLOOKUP('E-impôts'!A61,Feuil2!$A$1:$AA$298,19,0)</f>
        <v>709310771</v>
      </c>
      <c r="K61" t="str">
        <f>VLOOKUP('E-impôts'!A61,Feuil2!$A$1:$AA$298,9,0)</f>
        <v>CI-ABJ-03-2022-B13-09162</v>
      </c>
      <c r="L61" t="str">
        <f>VLOOKUP('E-impôts'!A61,Feuil2!$A$1:$AA$298,15,0)</f>
        <v>II Plateaux III</v>
      </c>
      <c r="M61" t="str">
        <f>VLOOKUP('E-impôts'!A61,Feuil2!$A$1:$AA$298,13,0)</f>
        <v>ES</v>
      </c>
      <c r="N61">
        <f>VLOOKUP('E-impôts'!A61,Feuil2!$A$1:$AA$298,14,0)</f>
        <v>73</v>
      </c>
      <c r="O61" t="s">
        <v>2413</v>
      </c>
      <c r="P61">
        <f>VLOOKUP(A61,Feuil2!$A$1:$AA$298,17,0)</f>
        <v>1000000</v>
      </c>
    </row>
    <row r="62" spans="1:16">
      <c r="A62" t="s">
        <v>120</v>
      </c>
      <c r="B62" t="s">
        <v>121</v>
      </c>
      <c r="C62" t="str">
        <f>VLOOKUP('E-impôts'!A62,Feuil2!$A$1:$AA$298,4,0)</f>
        <v>DCK</v>
      </c>
      <c r="D62" s="1">
        <v>44588</v>
      </c>
      <c r="E62" t="str">
        <f>VLOOKUP('E-impôts'!A62,Feuil2!$A$1:$AA$298,8,0)</f>
        <v>DCK-CGA-2022-J011</v>
      </c>
      <c r="F62" t="str">
        <f>VLOOKUP('E-impôts'!A62,Feuil2!$A$1:$AA$298,24,0)</f>
        <v xml:space="preserve">COCODY ANGRE </v>
      </c>
      <c r="G62" t="str">
        <f>VLOOKUP('E-impôts'!A62,Feuil2!$A$1:$AA$298,11,0)</f>
        <v>TEE</v>
      </c>
      <c r="H62" t="str">
        <f>VLOOKUP('E-impôts'!A62,Feuil2!$A$1:$AA$298,10,0)</f>
        <v>SARL</v>
      </c>
      <c r="I62" t="s">
        <v>2402</v>
      </c>
      <c r="J62">
        <f>VLOOKUP('E-impôts'!A62,Feuil2!$A$1:$AA$298,19,0)</f>
        <v>103041792</v>
      </c>
      <c r="K62" t="str">
        <f>VLOOKUP('E-impôts'!A62,Feuil2!$A$1:$AA$298,9,0)</f>
        <v>NULL</v>
      </c>
      <c r="L62" t="str">
        <f>VLOOKUP('E-impôts'!A62,Feuil2!$A$1:$AA$298,15,0)</f>
        <v>II Plateaux I</v>
      </c>
      <c r="M62" t="str">
        <f>VLOOKUP('E-impôts'!A62,Feuil2!$A$1:$AA$298,13,0)</f>
        <v>NULL</v>
      </c>
      <c r="N62" t="str">
        <f>VLOOKUP('E-impôts'!A62,Feuil2!$A$1:$AA$298,14,0)</f>
        <v>NULL</v>
      </c>
      <c r="O62" t="s">
        <v>2403</v>
      </c>
      <c r="P62" t="str">
        <f>VLOOKUP(A62,Feuil2!$A$1:$AA$298,17,0)</f>
        <v>NULL</v>
      </c>
    </row>
    <row r="63" spans="1:16">
      <c r="A63" t="s">
        <v>122</v>
      </c>
      <c r="B63" t="s">
        <v>123</v>
      </c>
      <c r="C63" t="str">
        <f>VLOOKUP('E-impôts'!A63,Feuil2!$A$1:$AA$298,4,0)</f>
        <v>DCK</v>
      </c>
      <c r="D63" s="1">
        <v>43858</v>
      </c>
      <c r="E63" t="str">
        <f>VLOOKUP('E-impôts'!A63,Feuil2!$A$1:$AA$298,8,0)</f>
        <v>DCK-CGA2020-A088</v>
      </c>
      <c r="F63" t="str">
        <f>VLOOKUP('E-impôts'!A63,Feuil2!$A$1:$AA$298,24,0)</f>
        <v>COCODY</v>
      </c>
      <c r="G63" t="str">
        <f>VLOOKUP('E-impôts'!A63,Feuil2!$A$1:$AA$298,11,0)</f>
        <v>TEE</v>
      </c>
      <c r="H63" t="str">
        <f>VLOOKUP('E-impôts'!A63,Feuil2!$A$1:$AA$298,10,0)</f>
        <v>ENTREPRISE INDIVIDUELLE</v>
      </c>
      <c r="I63" t="str">
        <f>VLOOKUP('E-impôts'!A63,Feuil2!$A$1:$AA$298,5,0)</f>
        <v>POHAN KEMOANFOUOGON AUGUTE</v>
      </c>
      <c r="J63">
        <f>VLOOKUP('E-impôts'!A63,Feuil2!$A$1:$AA$298,19,0)</f>
        <v>778972145</v>
      </c>
      <c r="K63" t="str">
        <f>VLOOKUP('E-impôts'!A63,Feuil2!$A$1:$AA$298,9,0)</f>
        <v>CI-ABJ-2017-A-25544</v>
      </c>
      <c r="L63" t="str">
        <f>VLOOKUP('E-impôts'!A63,Feuil2!$A$1:$AA$298,15,0)</f>
        <v>II Plateaux III</v>
      </c>
      <c r="M63" t="str">
        <f>VLOOKUP('E-impôts'!A63,Feuil2!$A$1:$AA$298,13,0)</f>
        <v>AO</v>
      </c>
      <c r="N63">
        <f>VLOOKUP('E-impôts'!A63,Feuil2!$A$1:$AA$298,14,0)</f>
        <v>527</v>
      </c>
      <c r="O63" t="str">
        <f>VLOOKUP('E-impôts'!A63,Feuil2!$A$1:$AA$298,16,0)</f>
        <v>SCE2399</v>
      </c>
      <c r="P63">
        <f>VLOOKUP(A63,Feuil2!$A$1:$AA$298,17,0)</f>
        <v>0</v>
      </c>
    </row>
    <row r="64" spans="1:16">
      <c r="A64" t="s">
        <v>124</v>
      </c>
      <c r="B64" t="s">
        <v>125</v>
      </c>
      <c r="C64" t="str">
        <f>VLOOKUP('E-impôts'!A64,Feuil2!$A$1:$AA$298,4,0)</f>
        <v>ZADI</v>
      </c>
      <c r="D64" s="1">
        <v>44949</v>
      </c>
      <c r="E64" t="str">
        <f>VLOOKUP('E-impôts'!A64,Feuil2!$A$1:$AA$298,8,0)</f>
        <v>DCK-CGA2023-J016</v>
      </c>
      <c r="F64" t="str">
        <f>VLOOKUP('E-impôts'!A64,Feuil2!$A$1:$AA$298,24,0)</f>
        <v>ANGRE TERMINUS 81/8II</v>
      </c>
      <c r="G64" t="str">
        <f>VLOOKUP('E-impôts'!A64,Feuil2!$A$1:$AA$298,11,0)</f>
        <v>TEE</v>
      </c>
      <c r="H64" t="str">
        <f>VLOOKUP('E-impôts'!A64,Feuil2!$A$1:$AA$298,10,0)</f>
        <v>SARL</v>
      </c>
      <c r="I64" t="str">
        <f>VLOOKUP('E-impôts'!A64,Feuil2!$A$1:$AA$298,5,0)</f>
        <v>NULL</v>
      </c>
      <c r="J64">
        <f>VLOOKUP('E-impôts'!A64,Feuil2!$A$1:$AA$298,19,0)</f>
        <v>702469090</v>
      </c>
      <c r="K64" t="str">
        <f>VLOOKUP('E-impôts'!A64,Feuil2!$A$1:$AA$298,9,0)</f>
        <v>NULL</v>
      </c>
      <c r="L64" t="str">
        <f>VLOOKUP('E-impôts'!A64,Feuil2!$A$1:$AA$298,15,0)</f>
        <v>Bingerville</v>
      </c>
      <c r="M64" t="str">
        <f>VLOOKUP('E-impôts'!A64,Feuil2!$A$1:$AA$298,13,0)</f>
        <v>NULL</v>
      </c>
      <c r="N64" t="str">
        <f>VLOOKUP('E-impôts'!A64,Feuil2!$A$1:$AA$298,14,0)</f>
        <v>NULL</v>
      </c>
      <c r="O64" t="str">
        <f>VLOOKUP('E-impôts'!A64,Feuil2!$A$1:$AA$298,16,0)</f>
        <v>NULL</v>
      </c>
      <c r="P64" t="str">
        <f>VLOOKUP(A64,Feuil2!$A$1:$AA$298,17,0)</f>
        <v>NULL</v>
      </c>
    </row>
    <row r="65" spans="1:16">
      <c r="A65" t="s">
        <v>126</v>
      </c>
      <c r="B65" t="s">
        <v>127</v>
      </c>
      <c r="C65" t="str">
        <f>VLOOKUP('E-impôts'!A65,Feuil2!$A$1:$AA$298,4,0)</f>
        <v>DCK</v>
      </c>
      <c r="D65" s="1">
        <v>44224</v>
      </c>
      <c r="E65" t="str">
        <f>VLOOKUP('E-impôts'!A65,Feuil2!$A$1:$AA$298,8,0)</f>
        <v>DCK-CGA-2021-Q174</v>
      </c>
      <c r="F65" t="str">
        <f>VLOOKUP('E-impôts'!A65,Feuil2!$A$1:$AA$298,24,0)</f>
        <v xml:space="preserve">II PLATEAUX </v>
      </c>
      <c r="G65" t="str">
        <f>VLOOKUP('E-impôts'!A65,Feuil2!$A$1:$AA$298,11,0)</f>
        <v>TEE</v>
      </c>
      <c r="H65" t="str">
        <f>VLOOKUP('E-impôts'!A65,Feuil2!$A$1:$AA$298,10,0)</f>
        <v>SARL</v>
      </c>
      <c r="I65" t="str">
        <f>VLOOKUP('E-impôts'!A65,Feuil2!$A$1:$AA$298,5,0)</f>
        <v>NULL</v>
      </c>
      <c r="J65">
        <f>VLOOKUP('E-impôts'!A65,Feuil2!$A$1:$AA$298,19,0)</f>
        <v>77767968</v>
      </c>
      <c r="K65" t="str">
        <f>VLOOKUP('E-impôts'!A65,Feuil2!$A$1:$AA$298,9,0)</f>
        <v>NULL</v>
      </c>
      <c r="L65" t="str">
        <f>VLOOKUP('E-impôts'!A65,Feuil2!$A$1:$AA$298,15,0)</f>
        <v>II Plateaux II</v>
      </c>
      <c r="M65" t="str">
        <f>VLOOKUP('E-impôts'!A65,Feuil2!$A$1:$AA$298,13,0)</f>
        <v>NULL</v>
      </c>
      <c r="N65" t="str">
        <f>VLOOKUP('E-impôts'!A65,Feuil2!$A$1:$AA$298,14,0)</f>
        <v>NULL</v>
      </c>
      <c r="O65" t="str">
        <f>VLOOKUP('E-impôts'!A65,Feuil2!$A$1:$AA$298,16,0)</f>
        <v>NULL</v>
      </c>
      <c r="P65" t="str">
        <f>VLOOKUP(A65,Feuil2!$A$1:$AA$298,17,0)</f>
        <v>NULL</v>
      </c>
    </row>
    <row r="66" spans="1:16">
      <c r="A66" t="s">
        <v>128</v>
      </c>
      <c r="B66" t="s">
        <v>129</v>
      </c>
      <c r="C66" t="e">
        <f>VLOOKUP('E-impôts'!A66,Feuil2!$A$1:$AA$298,4,0)</f>
        <v>#N/A</v>
      </c>
      <c r="D66" s="1">
        <v>45127</v>
      </c>
      <c r="E66" t="str">
        <f>VLOOKUP('E-impôts'!A66,Feuil2!$A$1:$AA$298,8,0)</f>
        <v>DCK-CGA2023-J055</v>
      </c>
      <c r="F66" t="str">
        <f>VLOOKUP('E-impôts'!A66,Feuil2!$A$1:$AA$298,24,0)</f>
        <v>COCODY II PLATEAUX VALLONS</v>
      </c>
      <c r="G66" t="str">
        <f>VLOOKUP('E-impôts'!A66,Feuil2!$A$1:$AA$298,11,0)</f>
        <v>TEE</v>
      </c>
      <c r="H66" t="str">
        <f>VLOOKUP('E-impôts'!A66,Feuil2!$A$1:$AA$298,10,0)</f>
        <v>SARL</v>
      </c>
      <c r="I66" t="str">
        <f>VLOOKUP('E-impôts'!A66,Feuil2!$A$1:$AA$298,5,0)</f>
        <v>TAI MARC JULES</v>
      </c>
      <c r="J66" t="str">
        <f>VLOOKUP('E-impôts'!A66,Feuil2!$A$1:$AA$298,19,0)</f>
        <v>07 07 37 45 74</v>
      </c>
      <c r="K66" t="str">
        <f>VLOOKUP('E-impôts'!A66,Feuil2!$A$1:$AA$298,9,0)</f>
        <v>CI-ABI-2016-B-555</v>
      </c>
      <c r="L66" t="str">
        <f>VLOOKUP('E-impôts'!A66,Feuil2!$A$1:$AA$298,15,0)</f>
        <v>II Pateaux II</v>
      </c>
      <c r="M66" t="str">
        <f>VLOOKUP('E-impôts'!A66,Feuil2!$A$1:$AA$298,13,0)</f>
        <v>MV</v>
      </c>
      <c r="N66">
        <f>VLOOKUP('E-impôts'!A66,Feuil2!$A$1:$AA$298,14,0)</f>
        <v>45</v>
      </c>
      <c r="O66" t="str">
        <f>VLOOKUP('E-impôts'!A66,Feuil2!$A$1:$AA$298,16,0)</f>
        <v>N/D</v>
      </c>
      <c r="P66">
        <f>VLOOKUP(A66,Feuil2!$A$1:$AA$298,17,0)</f>
        <v>1000000</v>
      </c>
    </row>
    <row r="67" spans="1:16">
      <c r="A67" t="s">
        <v>130</v>
      </c>
      <c r="B67" t="s">
        <v>131</v>
      </c>
      <c r="C67" t="str">
        <f>VLOOKUP('E-impôts'!A67,Feuil2!$A$1:$AA$298,4,0)</f>
        <v>DCK</v>
      </c>
      <c r="D67" s="1">
        <v>44953</v>
      </c>
      <c r="E67" t="str">
        <f>VLOOKUP('E-impôts'!A67,Feuil2!$A$1:$AA$298,8,0)</f>
        <v>DCK-CGA-2023-J021</v>
      </c>
      <c r="F67" t="str">
        <f>VLOOKUP('E-impôts'!A67,Feuil2!$A$1:$AA$298,24,0)</f>
        <v>COCODY II PLATEAUX 7E TRANCHE</v>
      </c>
      <c r="G67" t="str">
        <f>VLOOKUP('E-impôts'!A67,Feuil2!$A$1:$AA$298,11,0)</f>
        <v>TEE</v>
      </c>
      <c r="H67" t="str">
        <f>VLOOKUP('E-impôts'!A67,Feuil2!$A$1:$AA$298,10,0)</f>
        <v>SARL</v>
      </c>
      <c r="I67" t="str">
        <f>VLOOKUP('E-impôts'!A67,Feuil2!$A$1:$AA$298,5,0)</f>
        <v>FONTAINE JULIEN</v>
      </c>
      <c r="J67">
        <f>VLOOKUP('E-impôts'!A67,Feuil2!$A$1:$AA$298,19,0)</f>
        <v>797923730</v>
      </c>
      <c r="K67" t="str">
        <f>VLOOKUP('E-impôts'!A67,Feuil2!$A$1:$AA$298,9,0)</f>
        <v>CI-ABJ-03-2021-B12-02105</v>
      </c>
      <c r="L67" t="str">
        <f>VLOOKUP('E-impôts'!A67,Feuil2!$A$1:$AA$298,15,0)</f>
        <v>II Plateaux III</v>
      </c>
      <c r="M67" t="str">
        <f>VLOOKUP('E-impôts'!A67,Feuil2!$A$1:$AA$298,13,0)</f>
        <v>OZ</v>
      </c>
      <c r="N67" t="str">
        <f>VLOOKUP('E-impôts'!A67,Feuil2!$A$1:$AA$298,14,0)</f>
        <v>N/D</v>
      </c>
      <c r="O67" t="s">
        <v>2410</v>
      </c>
      <c r="P67">
        <f>VLOOKUP(A67,Feuil2!$A$1:$AA$298,17,0)</f>
        <v>700000</v>
      </c>
    </row>
    <row r="68" spans="1:16">
      <c r="A68" t="s">
        <v>132</v>
      </c>
      <c r="B68" t="s">
        <v>133</v>
      </c>
      <c r="C68" t="str">
        <f>VLOOKUP('E-impôts'!A68,Feuil2!$A$1:$AA$298,4,0)</f>
        <v>CABINET CFA</v>
      </c>
      <c r="D68" s="1">
        <v>44224</v>
      </c>
      <c r="E68" t="str">
        <f>VLOOKUP('E-impôts'!A68,Feuil2!$A$1:$AA$298,8,0)</f>
        <v>DCK-CGA2021-Q170</v>
      </c>
      <c r="F68" t="str">
        <f>VLOOKUP('E-impôts'!A68,Feuil2!$A$1:$AA$298,24,0)</f>
        <v xml:space="preserve">COCODY CENTRE </v>
      </c>
      <c r="G68" t="str">
        <f>VLOOKUP('E-impôts'!A68,Feuil2!$A$1:$AA$298,11,0)</f>
        <v>TEE</v>
      </c>
      <c r="H68" t="str">
        <f>VLOOKUP('E-impôts'!A68,Feuil2!$A$1:$AA$298,10,0)</f>
        <v>SARL</v>
      </c>
      <c r="I68" t="str">
        <f>VLOOKUP('E-impôts'!A68,Feuil2!$A$1:$AA$298,5,0)</f>
        <v>NULL</v>
      </c>
      <c r="J68">
        <f>VLOOKUP('E-impôts'!A68,Feuil2!$A$1:$AA$298,19,0)</f>
        <v>707181804</v>
      </c>
      <c r="K68" t="str">
        <f>VLOOKUP('E-impôts'!A68,Feuil2!$A$1:$AA$298,9,0)</f>
        <v>NULL</v>
      </c>
      <c r="L68" t="str">
        <f>VLOOKUP('E-impôts'!A68,Feuil2!$A$1:$AA$298,15,0)</f>
        <v>Cocody</v>
      </c>
      <c r="M68" t="str">
        <f>VLOOKUP('E-impôts'!A68,Feuil2!$A$1:$AA$298,13,0)</f>
        <v>NULL</v>
      </c>
      <c r="N68" t="str">
        <f>VLOOKUP('E-impôts'!A68,Feuil2!$A$1:$AA$298,14,0)</f>
        <v>NULL</v>
      </c>
      <c r="O68" t="str">
        <f>VLOOKUP('E-impôts'!A68,Feuil2!$A$1:$AA$298,16,0)</f>
        <v>NULL</v>
      </c>
      <c r="P68" t="str">
        <f>VLOOKUP(A68,Feuil2!$A$1:$AA$298,17,0)</f>
        <v>NULL</v>
      </c>
    </row>
    <row r="69" spans="1:16">
      <c r="A69" t="s">
        <v>134</v>
      </c>
      <c r="B69" t="s">
        <v>135</v>
      </c>
      <c r="C69" t="e">
        <f>VLOOKUP('E-impôts'!A69,Feuil2!$A$1:$AA$298,4,0)</f>
        <v>#N/A</v>
      </c>
      <c r="D69" s="1">
        <v>44628</v>
      </c>
      <c r="E69" t="e">
        <f>VLOOKUP('E-impôts'!A69,Feuil2!$A$1:$AA$298,8,0)</f>
        <v>#N/A</v>
      </c>
      <c r="F69" t="e">
        <f>VLOOKUP('E-impôts'!A69,Feuil2!$A$1:$AA$298,24,0)</f>
        <v>#N/A</v>
      </c>
      <c r="G69" t="e">
        <f>VLOOKUP('E-impôts'!A69,Feuil2!$A$1:$AA$298,11,0)</f>
        <v>#N/A</v>
      </c>
      <c r="H69" t="e">
        <f>VLOOKUP('E-impôts'!A69,Feuil2!$A$1:$AA$298,10,0)</f>
        <v>#N/A</v>
      </c>
      <c r="I69" t="e">
        <f>VLOOKUP('E-impôts'!A69,Feuil2!$A$1:$AA$298,5,0)</f>
        <v>#N/A</v>
      </c>
      <c r="J69" t="e">
        <f>VLOOKUP('E-impôts'!A69,Feuil2!$A$1:$AA$298,19,0)</f>
        <v>#N/A</v>
      </c>
      <c r="K69" t="e">
        <f>VLOOKUP('E-impôts'!A69,Feuil2!$A$1:$AA$298,9,0)</f>
        <v>#N/A</v>
      </c>
      <c r="L69" t="e">
        <f>VLOOKUP('E-impôts'!A69,Feuil2!$A$1:$AA$298,15,0)</f>
        <v>#N/A</v>
      </c>
      <c r="M69" t="e">
        <f>VLOOKUP('E-impôts'!A69,Feuil2!$A$1:$AA$298,13,0)</f>
        <v>#N/A</v>
      </c>
      <c r="N69" t="e">
        <f>VLOOKUP('E-impôts'!A69,Feuil2!$A$1:$AA$298,14,0)</f>
        <v>#N/A</v>
      </c>
      <c r="O69" t="e">
        <f>VLOOKUP('E-impôts'!A69,Feuil2!$A$1:$AA$298,16,0)</f>
        <v>#N/A</v>
      </c>
      <c r="P69" t="e">
        <f>VLOOKUP(A69,Feuil2!$A$1:$AA$298,17,0)</f>
        <v>#N/A</v>
      </c>
    </row>
    <row r="70" spans="1:16">
      <c r="A70" t="s">
        <v>136</v>
      </c>
      <c r="B70" t="s">
        <v>137</v>
      </c>
      <c r="C70" t="e">
        <f>VLOOKUP('E-impôts'!A70,Feuil2!$A$1:$AA$298,4,0)</f>
        <v>#N/A</v>
      </c>
      <c r="D70" s="1">
        <v>43905</v>
      </c>
      <c r="E70" t="e">
        <f>VLOOKUP('E-impôts'!A70,Feuil2!$A$1:$AA$298,8,0)</f>
        <v>#N/A</v>
      </c>
      <c r="F70" t="e">
        <f>VLOOKUP('E-impôts'!A70,Feuil2!$A$1:$AA$298,24,0)</f>
        <v>#N/A</v>
      </c>
      <c r="G70" t="e">
        <f>VLOOKUP('E-impôts'!A70,Feuil2!$A$1:$AA$298,11,0)</f>
        <v>#N/A</v>
      </c>
      <c r="H70" t="e">
        <f>VLOOKUP('E-impôts'!A70,Feuil2!$A$1:$AA$298,10,0)</f>
        <v>#N/A</v>
      </c>
      <c r="I70" t="e">
        <f>VLOOKUP('E-impôts'!A70,Feuil2!$A$1:$AA$298,5,0)</f>
        <v>#N/A</v>
      </c>
      <c r="J70" t="e">
        <f>VLOOKUP('E-impôts'!A70,Feuil2!$A$1:$AA$298,19,0)</f>
        <v>#N/A</v>
      </c>
      <c r="K70" t="e">
        <f>VLOOKUP('E-impôts'!A70,Feuil2!$A$1:$AA$298,9,0)</f>
        <v>#N/A</v>
      </c>
      <c r="L70" t="e">
        <f>VLOOKUP('E-impôts'!A70,Feuil2!$A$1:$AA$298,15,0)</f>
        <v>#N/A</v>
      </c>
      <c r="M70" t="e">
        <f>VLOOKUP('E-impôts'!A70,Feuil2!$A$1:$AA$298,13,0)</f>
        <v>#N/A</v>
      </c>
      <c r="N70" t="e">
        <f>VLOOKUP('E-impôts'!A70,Feuil2!$A$1:$AA$298,14,0)</f>
        <v>#N/A</v>
      </c>
      <c r="O70" t="e">
        <f>VLOOKUP('E-impôts'!A70,Feuil2!$A$1:$AA$298,16,0)</f>
        <v>#N/A</v>
      </c>
      <c r="P70" t="e">
        <f>VLOOKUP(A70,Feuil2!$A$1:$AA$298,17,0)</f>
        <v>#N/A</v>
      </c>
    </row>
    <row r="71" spans="1:16">
      <c r="A71" t="s">
        <v>138</v>
      </c>
      <c r="B71" t="s">
        <v>139</v>
      </c>
      <c r="C71" t="e">
        <f>VLOOKUP('E-impôts'!A71,Feuil2!$A$1:$AA$298,4,0)</f>
        <v>#N/A</v>
      </c>
      <c r="D71" s="1">
        <v>44224</v>
      </c>
      <c r="E71" t="e">
        <f>VLOOKUP('E-impôts'!A71,Feuil2!$A$1:$AA$298,8,0)</f>
        <v>#N/A</v>
      </c>
      <c r="F71" t="e">
        <f>VLOOKUP('E-impôts'!A71,Feuil2!$A$1:$AA$298,24,0)</f>
        <v>#N/A</v>
      </c>
      <c r="G71" t="e">
        <f>VLOOKUP('E-impôts'!A71,Feuil2!$A$1:$AA$298,11,0)</f>
        <v>#N/A</v>
      </c>
      <c r="H71" t="e">
        <f>VLOOKUP('E-impôts'!A71,Feuil2!$A$1:$AA$298,10,0)</f>
        <v>#N/A</v>
      </c>
      <c r="I71" t="e">
        <f>VLOOKUP('E-impôts'!A71,Feuil2!$A$1:$AA$298,5,0)</f>
        <v>#N/A</v>
      </c>
      <c r="J71" t="e">
        <f>VLOOKUP('E-impôts'!A71,Feuil2!$A$1:$AA$298,19,0)</f>
        <v>#N/A</v>
      </c>
      <c r="K71" t="e">
        <f>VLOOKUP('E-impôts'!A71,Feuil2!$A$1:$AA$298,9,0)</f>
        <v>#N/A</v>
      </c>
      <c r="L71" t="e">
        <f>VLOOKUP('E-impôts'!A71,Feuil2!$A$1:$AA$298,15,0)</f>
        <v>#N/A</v>
      </c>
      <c r="M71" t="e">
        <f>VLOOKUP('E-impôts'!A71,Feuil2!$A$1:$AA$298,13,0)</f>
        <v>#N/A</v>
      </c>
      <c r="N71" t="e">
        <f>VLOOKUP('E-impôts'!A71,Feuil2!$A$1:$AA$298,14,0)</f>
        <v>#N/A</v>
      </c>
      <c r="O71" t="e">
        <f>VLOOKUP('E-impôts'!A71,Feuil2!$A$1:$AA$298,16,0)</f>
        <v>#N/A</v>
      </c>
      <c r="P71" t="e">
        <f>VLOOKUP(A71,Feuil2!$A$1:$AA$298,17,0)</f>
        <v>#N/A</v>
      </c>
    </row>
    <row r="72" spans="1:16">
      <c r="A72" t="s">
        <v>140</v>
      </c>
      <c r="B72" t="s">
        <v>141</v>
      </c>
      <c r="C72" t="str">
        <f>VLOOKUP('E-impôts'!A72,Feuil2!$A$1:$AA$298,4,0)</f>
        <v>DCK</v>
      </c>
      <c r="D72" s="1">
        <v>43479</v>
      </c>
      <c r="E72" t="str">
        <f>VLOOKUP('E-impôts'!A72,Feuil2!$A$1:$AA$298,8,0)</f>
        <v>DCK-CGA2019-A023</v>
      </c>
      <c r="F72" t="str">
        <f>VLOOKUP('E-impôts'!A72,Feuil2!$A$1:$AA$298,24,0)</f>
        <v xml:space="preserve">COCODY SAINT JEAN </v>
      </c>
      <c r="G72" t="str">
        <f>VLOOKUP('E-impôts'!A72,Feuil2!$A$1:$AA$298,11,0)</f>
        <v>TEE</v>
      </c>
      <c r="H72" t="str">
        <f>VLOOKUP('E-impôts'!A72,Feuil2!$A$1:$AA$298,10,0)</f>
        <v>ENTREPRISE INDIVIDUELLE</v>
      </c>
      <c r="I72" t="s">
        <v>141</v>
      </c>
      <c r="J72">
        <f>VLOOKUP('E-impôts'!A72,Feuil2!$A$1:$AA$298,19,0)</f>
        <v>707582591</v>
      </c>
      <c r="K72" t="str">
        <f>VLOOKUP('E-impôts'!A72,Feuil2!$A$1:$AA$298,9,0)</f>
        <v>NULL</v>
      </c>
      <c r="L72" t="str">
        <f>VLOOKUP('E-impôts'!A72,Feuil2!$A$1:$AA$298,15,0)</f>
        <v>Cocody</v>
      </c>
      <c r="M72" t="str">
        <f>VLOOKUP('E-impôts'!A72,Feuil2!$A$1:$AA$298,13,0)</f>
        <v>NULL</v>
      </c>
      <c r="N72" t="str">
        <f>VLOOKUP('E-impôts'!A72,Feuil2!$A$1:$AA$298,14,0)</f>
        <v>NULL</v>
      </c>
      <c r="O72" t="s">
        <v>2408</v>
      </c>
      <c r="P72" t="str">
        <f>VLOOKUP(A72,Feuil2!$A$1:$AA$298,17,0)</f>
        <v>NULL</v>
      </c>
    </row>
    <row r="73" spans="1:16">
      <c r="A73" t="s">
        <v>142</v>
      </c>
      <c r="B73" t="s">
        <v>143</v>
      </c>
      <c r="C73" t="e">
        <f>VLOOKUP('E-impôts'!A73,Feuil2!$A$1:$AA$298,4,0)</f>
        <v>#N/A</v>
      </c>
      <c r="D73" s="1">
        <v>44957</v>
      </c>
      <c r="E73" t="str">
        <f>VLOOKUP('E-impôts'!A73,Feuil2!$A$1:$AA$298,8,0)</f>
        <v>DCK-CGA2024-A058</v>
      </c>
      <c r="F73" t="str">
        <f>VLOOKUP('E-impôts'!A73,Feuil2!$A$1:$AA$298,24,0)</f>
        <v>BINGERVILLE GBAGBA</v>
      </c>
      <c r="G73" t="str">
        <f>VLOOKUP('E-impôts'!A73,Feuil2!$A$1:$AA$298,11,0)</f>
        <v>TEE</v>
      </c>
      <c r="H73" t="str">
        <f>VLOOKUP('E-impôts'!A73,Feuil2!$A$1:$AA$298,10,0)</f>
        <v>ENTREPRISE INDIVIDUELLE</v>
      </c>
      <c r="I73" t="str">
        <f>VLOOKUP('E-impôts'!A73,Feuil2!$A$1:$AA$298,5,0)</f>
        <v>OUATTARA AYOUBA</v>
      </c>
      <c r="J73">
        <f>VLOOKUP('E-impôts'!A73,Feuil2!$A$1:$AA$298,19,0)</f>
        <v>709595813</v>
      </c>
      <c r="K73" t="str">
        <f>VLOOKUP('E-impôts'!A73,Feuil2!$A$1:$AA$298,9,0)</f>
        <v>CI-ABJ-03-2022-A10-01730</v>
      </c>
      <c r="L73" t="str">
        <f>VLOOKUP('E-impôts'!A73,Feuil2!$A$1:$AA$298,15,0)</f>
        <v>Bingerville</v>
      </c>
      <c r="M73">
        <f>VLOOKUP('E-impôts'!A73,Feuil2!$A$1:$AA$298,13,0)</f>
        <v>0</v>
      </c>
      <c r="N73">
        <f>VLOOKUP('E-impôts'!A73,Feuil2!$A$1:$AA$298,14,0)</f>
        <v>0</v>
      </c>
      <c r="O73" t="str">
        <f>VLOOKUP('E-impôts'!A73,Feuil2!$A$1:$AA$298,16,0)</f>
        <v>SCE1702</v>
      </c>
      <c r="P73">
        <f>VLOOKUP(A73,Feuil2!$A$1:$AA$298,17,0)</f>
        <v>0</v>
      </c>
    </row>
    <row r="74" spans="1:16">
      <c r="A74" t="s">
        <v>142</v>
      </c>
      <c r="B74" t="s">
        <v>143</v>
      </c>
      <c r="C74" t="e">
        <f>VLOOKUP('E-impôts'!A74,Feuil2!$A$1:$AA$298,4,0)</f>
        <v>#N/A</v>
      </c>
      <c r="D74" s="1">
        <v>44957</v>
      </c>
      <c r="E74" t="str">
        <f>VLOOKUP('E-impôts'!A74,Feuil2!$A$1:$AA$298,8,0)</f>
        <v>DCK-CGA2024-A058</v>
      </c>
      <c r="F74" t="str">
        <f>VLOOKUP('E-impôts'!A74,Feuil2!$A$1:$AA$298,24,0)</f>
        <v>BINGERVILLE GBAGBA</v>
      </c>
      <c r="G74" t="str">
        <f>VLOOKUP('E-impôts'!A74,Feuil2!$A$1:$AA$298,11,0)</f>
        <v>TEE</v>
      </c>
      <c r="H74" t="str">
        <f>VLOOKUP('E-impôts'!A74,Feuil2!$A$1:$AA$298,10,0)</f>
        <v>ENTREPRISE INDIVIDUELLE</v>
      </c>
      <c r="I74" t="str">
        <f>VLOOKUP('E-impôts'!A74,Feuil2!$A$1:$AA$298,5,0)</f>
        <v>OUATTARA AYOUBA</v>
      </c>
      <c r="J74">
        <f>VLOOKUP('E-impôts'!A74,Feuil2!$A$1:$AA$298,19,0)</f>
        <v>709595813</v>
      </c>
      <c r="K74" t="str">
        <f>VLOOKUP('E-impôts'!A74,Feuil2!$A$1:$AA$298,9,0)</f>
        <v>CI-ABJ-03-2022-A10-01730</v>
      </c>
      <c r="L74" t="str">
        <f>VLOOKUP('E-impôts'!A74,Feuil2!$A$1:$AA$298,15,0)</f>
        <v>Bingerville</v>
      </c>
      <c r="M74">
        <f>VLOOKUP('E-impôts'!A74,Feuil2!$A$1:$AA$298,13,0)</f>
        <v>0</v>
      </c>
      <c r="N74">
        <f>VLOOKUP('E-impôts'!A74,Feuil2!$A$1:$AA$298,14,0)</f>
        <v>0</v>
      </c>
      <c r="O74" t="str">
        <f>VLOOKUP('E-impôts'!A74,Feuil2!$A$1:$AA$298,16,0)</f>
        <v>SCE1702</v>
      </c>
      <c r="P74">
        <f>VLOOKUP(A74,Feuil2!$A$1:$AA$298,17,0)</f>
        <v>0</v>
      </c>
    </row>
    <row r="75" spans="1:16">
      <c r="A75" t="s">
        <v>144</v>
      </c>
      <c r="B75" t="s">
        <v>145</v>
      </c>
      <c r="C75" t="e">
        <f>VLOOKUP('E-impôts'!A75,Feuil2!$A$1:$AA$298,4,0)</f>
        <v>#N/A</v>
      </c>
      <c r="D75" s="1">
        <v>43479</v>
      </c>
      <c r="E75" t="e">
        <f>VLOOKUP('E-impôts'!A75,Feuil2!$A$1:$AA$298,8,0)</f>
        <v>#N/A</v>
      </c>
      <c r="F75" t="e">
        <f>VLOOKUP('E-impôts'!A75,Feuil2!$A$1:$AA$298,24,0)</f>
        <v>#N/A</v>
      </c>
      <c r="G75" t="e">
        <f>VLOOKUP('E-impôts'!A75,Feuil2!$A$1:$AA$298,11,0)</f>
        <v>#N/A</v>
      </c>
      <c r="H75" t="e">
        <f>VLOOKUP('E-impôts'!A75,Feuil2!$A$1:$AA$298,10,0)</f>
        <v>#N/A</v>
      </c>
      <c r="I75" t="e">
        <f>VLOOKUP('E-impôts'!A75,Feuil2!$A$1:$AA$298,5,0)</f>
        <v>#N/A</v>
      </c>
      <c r="J75" t="e">
        <f>VLOOKUP('E-impôts'!A75,Feuil2!$A$1:$AA$298,19,0)</f>
        <v>#N/A</v>
      </c>
      <c r="K75" t="e">
        <f>VLOOKUP('E-impôts'!A75,Feuil2!$A$1:$AA$298,9,0)</f>
        <v>#N/A</v>
      </c>
      <c r="L75" t="e">
        <f>VLOOKUP('E-impôts'!A75,Feuil2!$A$1:$AA$298,15,0)</f>
        <v>#N/A</v>
      </c>
      <c r="M75" t="e">
        <f>VLOOKUP('E-impôts'!A75,Feuil2!$A$1:$AA$298,13,0)</f>
        <v>#N/A</v>
      </c>
      <c r="N75" t="e">
        <f>VLOOKUP('E-impôts'!A75,Feuil2!$A$1:$AA$298,14,0)</f>
        <v>#N/A</v>
      </c>
      <c r="O75" t="e">
        <f>VLOOKUP('E-impôts'!A75,Feuil2!$A$1:$AA$298,16,0)</f>
        <v>#N/A</v>
      </c>
      <c r="P75" t="e">
        <f>VLOOKUP(A75,Feuil2!$A$1:$AA$298,17,0)</f>
        <v>#N/A</v>
      </c>
    </row>
    <row r="76" spans="1:16">
      <c r="A76" t="s">
        <v>146</v>
      </c>
      <c r="B76" t="s">
        <v>147</v>
      </c>
      <c r="C76" t="str">
        <f>VLOOKUP('E-impôts'!A76,Feuil2!$A$1:$AA$298,4,0)</f>
        <v>DCK</v>
      </c>
      <c r="D76" s="1">
        <v>45322</v>
      </c>
      <c r="E76" t="str">
        <f>VLOOKUP('E-impôts'!A76,Feuil2!$A$1:$AA$298,8,0)</f>
        <v>DCK-CGA2024-A050</v>
      </c>
      <c r="F76" t="str">
        <f>VLOOKUP('E-impôts'!A76,Feuil2!$A$1:$AA$298,24,0)</f>
        <v>COCODY II PLATEAUX VALLON</v>
      </c>
      <c r="G76" t="str">
        <f>VLOOKUP('E-impôts'!A76,Feuil2!$A$1:$AA$298,11,0)</f>
        <v>TEE</v>
      </c>
      <c r="H76" t="str">
        <f>VLOOKUP('E-impôts'!A76,Feuil2!$A$1:$AA$298,10,0)</f>
        <v>SARL</v>
      </c>
      <c r="I76" t="str">
        <f>VLOOKUP('E-impôts'!A76,Feuil2!$A$1:$AA$298,5,0)</f>
        <v>YEBOUE EPSE BOUAH ADJOUA IRENE</v>
      </c>
      <c r="J76">
        <f>VLOOKUP('E-impôts'!A76,Feuil2!$A$1:$AA$298,19,0)</f>
        <v>707830824</v>
      </c>
      <c r="K76" t="str">
        <f>VLOOKUP('E-impôts'!A76,Feuil2!$A$1:$AA$298,9,0)</f>
        <v>CI-ABJ-2019-B-17445</v>
      </c>
      <c r="L76" t="str">
        <f>VLOOKUP('E-impôts'!A76,Feuil2!$A$1:$AA$298,15,0)</f>
        <v>II Pateaux II</v>
      </c>
      <c r="M76" t="str">
        <f>VLOOKUP('E-impôts'!A76,Feuil2!$A$1:$AA$298,13,0)</f>
        <v>N/D</v>
      </c>
      <c r="N76" t="str">
        <f>VLOOKUP('E-impôts'!A76,Feuil2!$A$1:$AA$298,14,0)</f>
        <v>N/D</v>
      </c>
      <c r="O76" t="s">
        <v>2385</v>
      </c>
      <c r="P76">
        <f>VLOOKUP(A76,Feuil2!$A$1:$AA$298,17,0)</f>
        <v>5000000</v>
      </c>
    </row>
    <row r="77" spans="1:16">
      <c r="A77" t="s">
        <v>148</v>
      </c>
      <c r="B77" t="s">
        <v>149</v>
      </c>
      <c r="C77" t="e">
        <f>VLOOKUP('E-impôts'!A77,Feuil2!$A$1:$AA$298,4,0)</f>
        <v>#N/A</v>
      </c>
      <c r="D77" s="1">
        <v>44592</v>
      </c>
      <c r="E77" t="e">
        <f>VLOOKUP('E-impôts'!A77,Feuil2!$A$1:$AA$298,8,0)</f>
        <v>#N/A</v>
      </c>
      <c r="F77" t="e">
        <f>VLOOKUP('E-impôts'!A77,Feuil2!$A$1:$AA$298,24,0)</f>
        <v>#N/A</v>
      </c>
      <c r="G77" t="e">
        <f>VLOOKUP('E-impôts'!A77,Feuil2!$A$1:$AA$298,11,0)</f>
        <v>#N/A</v>
      </c>
      <c r="H77" t="e">
        <f>VLOOKUP('E-impôts'!A77,Feuil2!$A$1:$AA$298,10,0)</f>
        <v>#N/A</v>
      </c>
      <c r="I77" t="e">
        <f>VLOOKUP('E-impôts'!A77,Feuil2!$A$1:$AA$298,5,0)</f>
        <v>#N/A</v>
      </c>
      <c r="J77" t="e">
        <f>VLOOKUP('E-impôts'!A77,Feuil2!$A$1:$AA$298,19,0)</f>
        <v>#N/A</v>
      </c>
      <c r="K77" t="e">
        <f>VLOOKUP('E-impôts'!A77,Feuil2!$A$1:$AA$298,9,0)</f>
        <v>#N/A</v>
      </c>
      <c r="L77" t="e">
        <f>VLOOKUP('E-impôts'!A77,Feuil2!$A$1:$AA$298,15,0)</f>
        <v>#N/A</v>
      </c>
      <c r="M77" t="e">
        <f>VLOOKUP('E-impôts'!A77,Feuil2!$A$1:$AA$298,13,0)</f>
        <v>#N/A</v>
      </c>
      <c r="N77" t="e">
        <f>VLOOKUP('E-impôts'!A77,Feuil2!$A$1:$AA$298,14,0)</f>
        <v>#N/A</v>
      </c>
      <c r="O77" t="e">
        <f>VLOOKUP('E-impôts'!A77,Feuil2!$A$1:$AA$298,16,0)</f>
        <v>#N/A</v>
      </c>
      <c r="P77" t="e">
        <f>VLOOKUP(A77,Feuil2!$A$1:$AA$298,17,0)</f>
        <v>#N/A</v>
      </c>
    </row>
    <row r="78" spans="1:16">
      <c r="A78" t="s">
        <v>150</v>
      </c>
      <c r="B78" t="s">
        <v>151</v>
      </c>
      <c r="C78" t="e">
        <f>VLOOKUP('E-impôts'!A78,Feuil2!$A$1:$AA$298,4,0)</f>
        <v>#N/A</v>
      </c>
      <c r="D78" s="1">
        <v>43857</v>
      </c>
      <c r="E78" t="e">
        <f>VLOOKUP('E-impôts'!A78,Feuil2!$A$1:$AA$298,8,0)</f>
        <v>#N/A</v>
      </c>
      <c r="F78" t="e">
        <f>VLOOKUP('E-impôts'!A78,Feuil2!$A$1:$AA$298,24,0)</f>
        <v>#N/A</v>
      </c>
      <c r="G78" t="e">
        <f>VLOOKUP('E-impôts'!A78,Feuil2!$A$1:$AA$298,11,0)</f>
        <v>#N/A</v>
      </c>
      <c r="H78" t="e">
        <f>VLOOKUP('E-impôts'!A78,Feuil2!$A$1:$AA$298,10,0)</f>
        <v>#N/A</v>
      </c>
      <c r="I78" t="e">
        <f>VLOOKUP('E-impôts'!A78,Feuil2!$A$1:$AA$298,5,0)</f>
        <v>#N/A</v>
      </c>
      <c r="J78" t="e">
        <f>VLOOKUP('E-impôts'!A78,Feuil2!$A$1:$AA$298,19,0)</f>
        <v>#N/A</v>
      </c>
      <c r="K78" t="e">
        <f>VLOOKUP('E-impôts'!A78,Feuil2!$A$1:$AA$298,9,0)</f>
        <v>#N/A</v>
      </c>
      <c r="L78" t="e">
        <f>VLOOKUP('E-impôts'!A78,Feuil2!$A$1:$AA$298,15,0)</f>
        <v>#N/A</v>
      </c>
      <c r="M78" t="e">
        <f>VLOOKUP('E-impôts'!A78,Feuil2!$A$1:$AA$298,13,0)</f>
        <v>#N/A</v>
      </c>
      <c r="N78" t="e">
        <f>VLOOKUP('E-impôts'!A78,Feuil2!$A$1:$AA$298,14,0)</f>
        <v>#N/A</v>
      </c>
      <c r="O78" t="e">
        <f>VLOOKUP('E-impôts'!A78,Feuil2!$A$1:$AA$298,16,0)</f>
        <v>#N/A</v>
      </c>
      <c r="P78" t="e">
        <f>VLOOKUP(A78,Feuil2!$A$1:$AA$298,17,0)</f>
        <v>#N/A</v>
      </c>
    </row>
    <row r="79" spans="1:16">
      <c r="A79" t="s">
        <v>152</v>
      </c>
      <c r="B79" t="s">
        <v>153</v>
      </c>
      <c r="C79" t="str">
        <f>VLOOKUP('E-impôts'!A79,Feuil2!$A$1:$AA$298,4,0)</f>
        <v>CABINET CFA</v>
      </c>
      <c r="D79" s="1">
        <v>44592</v>
      </c>
      <c r="E79" t="str">
        <f>VLOOKUP('E-impôts'!A79,Feuil2!$A$1:$AA$298,8,0)</f>
        <v>DCK-CGA2022-J044</v>
      </c>
      <c r="F79" t="str">
        <f>VLOOKUP('E-impôts'!A79,Feuil2!$A$1:$AA$298,24,0)</f>
        <v>COCODY RIVIERA II</v>
      </c>
      <c r="G79" t="str">
        <f>VLOOKUP('E-impôts'!A79,Feuil2!$A$1:$AA$298,11,0)</f>
        <v xml:space="preserve">TEE </v>
      </c>
      <c r="H79" t="str">
        <f>VLOOKUP('E-impôts'!A79,Feuil2!$A$1:$AA$298,10,0)</f>
        <v>SARL</v>
      </c>
      <c r="I79" t="str">
        <f>VLOOKUP('E-impôts'!A79,Feuil2!$A$1:$AA$298,5,0)</f>
        <v>NULL</v>
      </c>
      <c r="J79">
        <f>VLOOKUP('E-impôts'!A79,Feuil2!$A$1:$AA$298,19,0)</f>
        <v>789843555</v>
      </c>
      <c r="K79" t="str">
        <f>VLOOKUP('E-impôts'!A79,Feuil2!$A$1:$AA$298,9,0)</f>
        <v>NULL</v>
      </c>
      <c r="L79" t="str">
        <f>VLOOKUP('E-impôts'!A79,Feuil2!$A$1:$AA$298,15,0)</f>
        <v xml:space="preserve">Riviera I </v>
      </c>
      <c r="M79" t="str">
        <f>VLOOKUP('E-impôts'!A79,Feuil2!$A$1:$AA$298,13,0)</f>
        <v>NULL</v>
      </c>
      <c r="N79" t="str">
        <f>VLOOKUP('E-impôts'!A79,Feuil2!$A$1:$AA$298,14,0)</f>
        <v>NULL</v>
      </c>
      <c r="O79" t="str">
        <f>VLOOKUP('E-impôts'!A79,Feuil2!$A$1:$AA$298,16,0)</f>
        <v>NULL</v>
      </c>
      <c r="P79" t="str">
        <f>VLOOKUP(A79,Feuil2!$A$1:$AA$298,17,0)</f>
        <v>NULL</v>
      </c>
    </row>
    <row r="80" spans="1:16">
      <c r="A80" t="s">
        <v>154</v>
      </c>
      <c r="B80" t="s">
        <v>155</v>
      </c>
      <c r="C80" t="e">
        <f>VLOOKUP('E-impôts'!A80,Feuil2!$A$1:$AA$298,4,0)</f>
        <v>#N/A</v>
      </c>
      <c r="D80" s="1">
        <v>45322</v>
      </c>
      <c r="E80" t="str">
        <f>VLOOKUP('E-impôts'!A80,Feuil2!$A$1:$AA$298,8,0)</f>
        <v>DCK-CGA2024-A061</v>
      </c>
      <c r="F80" t="str">
        <f>VLOOKUP('E-impôts'!A80,Feuil2!$A$1:$AA$298,24,0)</f>
        <v>BINGERVILLE AKWE DJEMIN FACE A L'EGLISE METHODISTE</v>
      </c>
      <c r="G80" t="str">
        <f>VLOOKUP('E-impôts'!A80,Feuil2!$A$1:$AA$298,11,0)</f>
        <v>TEE</v>
      </c>
      <c r="H80" t="str">
        <f>VLOOKUP('E-impôts'!A80,Feuil2!$A$1:$AA$298,10,0)</f>
        <v>SARL</v>
      </c>
      <c r="I80" t="str">
        <f>VLOOKUP('E-impôts'!A80,Feuil2!$A$1:$AA$298,5,0)</f>
        <v xml:space="preserve">YAPO JEAN-MARIUS </v>
      </c>
      <c r="J80">
        <f>VLOOKUP('E-impôts'!A80,Feuil2!$A$1:$AA$298,19,0)</f>
        <v>707008495</v>
      </c>
      <c r="K80" t="str">
        <f>VLOOKUP('E-impôts'!A80,Feuil2!$A$1:$AA$298,9,0)</f>
        <v>CI-ABJ-03-2022-B12-04022</v>
      </c>
      <c r="L80" t="str">
        <f>VLOOKUP('E-impôts'!A80,Feuil2!$A$1:$AA$298,15,0)</f>
        <v>Riviera II</v>
      </c>
      <c r="M80" t="str">
        <f>VLOOKUP('E-impôts'!A80,Feuil2!$A$1:$AA$298,13,0)</f>
        <v>ND</v>
      </c>
      <c r="N80" t="str">
        <f>VLOOKUP('E-impôts'!A80,Feuil2!$A$1:$AA$298,14,0)</f>
        <v>ND</v>
      </c>
      <c r="O80" t="str">
        <f>VLOOKUP('E-impôts'!A80,Feuil2!$A$1:$AA$298,16,0)</f>
        <v>IND0201</v>
      </c>
      <c r="P80">
        <f>VLOOKUP(A80,Feuil2!$A$1:$AA$298,17,0)</f>
        <v>1000000</v>
      </c>
    </row>
    <row r="81" spans="1:16">
      <c r="A81" t="s">
        <v>156</v>
      </c>
      <c r="B81" t="s">
        <v>157</v>
      </c>
      <c r="C81" t="str">
        <f>VLOOKUP('E-impôts'!A81,Feuil2!$A$1:$AA$298,4,0)</f>
        <v>CABINET CFA</v>
      </c>
      <c r="D81" s="1">
        <v>44265</v>
      </c>
      <c r="E81" t="str">
        <f>VLOOKUP('E-impôts'!A81,Feuil2!$A$1:$AA$298,8,0)</f>
        <v>DCK-CGA2021-Q169</v>
      </c>
      <c r="F81" t="str">
        <f>VLOOKUP('E-impôts'!A81,Feuil2!$A$1:$AA$298,24,0)</f>
        <v>ANGRE 8E TRANCHE</v>
      </c>
      <c r="G81" t="str">
        <f>VLOOKUP('E-impôts'!A81,Feuil2!$A$1:$AA$298,11,0)</f>
        <v>TEE</v>
      </c>
      <c r="H81" t="str">
        <f>VLOOKUP('E-impôts'!A81,Feuil2!$A$1:$AA$298,10,0)</f>
        <v>SARL</v>
      </c>
      <c r="I81" t="str">
        <f>VLOOKUP('E-impôts'!A81,Feuil2!$A$1:$AA$298,5,0)</f>
        <v>AMICHIA AMOIN MARIE CLAIRE</v>
      </c>
      <c r="J81">
        <f>VLOOKUP('E-impôts'!A81,Feuil2!$A$1:$AA$298,19,0)</f>
        <v>708759006</v>
      </c>
      <c r="K81" t="str">
        <f>VLOOKUP('E-impôts'!A81,Feuil2!$A$1:$AA$298,9,0)</f>
        <v>CI-ABJ-03-2023-B22-00002</v>
      </c>
      <c r="L81" t="str">
        <f>VLOOKUP('E-impôts'!A81,Feuil2!$A$1:$AA$298,15,0)</f>
        <v>II Pateaux I</v>
      </c>
      <c r="M81" t="str">
        <f>VLOOKUP('E-impôts'!A81,Feuil2!$A$1:$AA$298,13,0)</f>
        <v>N/D</v>
      </c>
      <c r="N81" t="str">
        <f>VLOOKUP('E-impôts'!A81,Feuil2!$A$1:$AA$298,14,0)</f>
        <v>N/D</v>
      </c>
      <c r="O81" t="str">
        <f>VLOOKUP('E-impôts'!A81,Feuil2!$A$1:$AA$298,16,0)</f>
        <v>N/D</v>
      </c>
      <c r="P81">
        <f>VLOOKUP(A81,Feuil2!$A$1:$AA$298,17,0)</f>
        <v>1000000</v>
      </c>
    </row>
    <row r="82" spans="1:16">
      <c r="A82" t="s">
        <v>158</v>
      </c>
      <c r="B82" t="s">
        <v>159</v>
      </c>
      <c r="C82" t="str">
        <f>VLOOKUP('E-impôts'!A82,Feuil2!$A$1:$AA$298,4,0)</f>
        <v xml:space="preserve">GOHI </v>
      </c>
      <c r="D82" s="1">
        <v>44592</v>
      </c>
      <c r="E82" t="str">
        <f>VLOOKUP('E-impôts'!A82,Feuil2!$A$1:$AA$298,8,0)</f>
        <v>DCK-CGA2022-J046</v>
      </c>
      <c r="F82" t="str">
        <f>VLOOKUP('E-impôts'!A82,Feuil2!$A$1:$AA$298,24,0)</f>
        <v xml:space="preserve">COCODY BLAUCKAUSS </v>
      </c>
      <c r="G82" t="str">
        <f>VLOOKUP('E-impôts'!A82,Feuil2!$A$1:$AA$298,11,0)</f>
        <v>TEE</v>
      </c>
      <c r="H82" t="str">
        <f>VLOOKUP('E-impôts'!A82,Feuil2!$A$1:$AA$298,10,0)</f>
        <v>SAS</v>
      </c>
      <c r="I82" t="str">
        <f>VLOOKUP('E-impôts'!A82,Feuil2!$A$1:$AA$298,5,0)</f>
        <v>NULL</v>
      </c>
      <c r="J82">
        <f>VLOOKUP('E-impôts'!A82,Feuil2!$A$1:$AA$298,19,0)</f>
        <v>0</v>
      </c>
      <c r="K82" t="str">
        <f>VLOOKUP('E-impôts'!A82,Feuil2!$A$1:$AA$298,9,0)</f>
        <v>NULL</v>
      </c>
      <c r="L82" t="str">
        <f>VLOOKUP('E-impôts'!A82,Feuil2!$A$1:$AA$298,15,0)</f>
        <v>Cocody</v>
      </c>
      <c r="M82" t="str">
        <f>VLOOKUP('E-impôts'!A82,Feuil2!$A$1:$AA$298,13,0)</f>
        <v>NULL</v>
      </c>
      <c r="N82" t="str">
        <f>VLOOKUP('E-impôts'!A82,Feuil2!$A$1:$AA$298,14,0)</f>
        <v>NULL</v>
      </c>
      <c r="O82" t="str">
        <f>VLOOKUP('E-impôts'!A82,Feuil2!$A$1:$AA$298,16,0)</f>
        <v>NULL</v>
      </c>
      <c r="P82" t="str">
        <f>VLOOKUP(A82,Feuil2!$A$1:$AA$298,17,0)</f>
        <v>NULL</v>
      </c>
    </row>
    <row r="83" spans="1:16">
      <c r="A83" t="s">
        <v>160</v>
      </c>
      <c r="B83" t="s">
        <v>161</v>
      </c>
      <c r="C83" t="e">
        <f>VLOOKUP('E-impôts'!A83,Feuil2!$A$1:$AA$298,4,0)</f>
        <v>#N/A</v>
      </c>
      <c r="D83" s="1">
        <v>45462</v>
      </c>
      <c r="E83" t="e">
        <f>VLOOKUP('E-impôts'!A83,Feuil2!$A$1:$AA$298,8,0)</f>
        <v>#N/A</v>
      </c>
      <c r="F83" t="e">
        <f>VLOOKUP('E-impôts'!A83,Feuil2!$A$1:$AA$298,24,0)</f>
        <v>#N/A</v>
      </c>
      <c r="G83" t="e">
        <f>VLOOKUP('E-impôts'!A83,Feuil2!$A$1:$AA$298,11,0)</f>
        <v>#N/A</v>
      </c>
      <c r="H83" t="e">
        <f>VLOOKUP('E-impôts'!A83,Feuil2!$A$1:$AA$298,10,0)</f>
        <v>#N/A</v>
      </c>
      <c r="I83" t="e">
        <f>VLOOKUP('E-impôts'!A83,Feuil2!$A$1:$AA$298,5,0)</f>
        <v>#N/A</v>
      </c>
      <c r="J83" t="e">
        <f>VLOOKUP('E-impôts'!A83,Feuil2!$A$1:$AA$298,19,0)</f>
        <v>#N/A</v>
      </c>
      <c r="K83" t="e">
        <f>VLOOKUP('E-impôts'!A83,Feuil2!$A$1:$AA$298,9,0)</f>
        <v>#N/A</v>
      </c>
      <c r="L83" t="e">
        <f>VLOOKUP('E-impôts'!A83,Feuil2!$A$1:$AA$298,15,0)</f>
        <v>#N/A</v>
      </c>
      <c r="M83" t="e">
        <f>VLOOKUP('E-impôts'!A83,Feuil2!$A$1:$AA$298,13,0)</f>
        <v>#N/A</v>
      </c>
      <c r="N83" t="e">
        <f>VLOOKUP('E-impôts'!A83,Feuil2!$A$1:$AA$298,14,0)</f>
        <v>#N/A</v>
      </c>
      <c r="O83" t="e">
        <f>VLOOKUP('E-impôts'!A83,Feuil2!$A$1:$AA$298,16,0)</f>
        <v>#N/A</v>
      </c>
      <c r="P83" t="e">
        <f>VLOOKUP(A83,Feuil2!$A$1:$AA$298,17,0)</f>
        <v>#N/A</v>
      </c>
    </row>
    <row r="84" spans="1:16">
      <c r="A84" t="s">
        <v>162</v>
      </c>
      <c r="B84" t="s">
        <v>163</v>
      </c>
      <c r="C84" t="e">
        <f>VLOOKUP('E-impôts'!A84,Feuil2!$A$1:$AA$298,4,0)</f>
        <v>#N/A</v>
      </c>
      <c r="D84" s="1">
        <v>45321</v>
      </c>
      <c r="E84" t="str">
        <f>VLOOKUP('E-impôts'!A84,Feuil2!$A$1:$AA$298,8,0)</f>
        <v>DCK-CGA2024-A085</v>
      </c>
      <c r="F84" t="str">
        <f>VLOOKUP('E-impôts'!A84,Feuil2!$A$1:$AA$298,24,0)</f>
        <v>COCODY ANGRE DJOROGOBITE 2</v>
      </c>
      <c r="G84" t="str">
        <f>VLOOKUP('E-impôts'!A84,Feuil2!$A$1:$AA$298,11,0)</f>
        <v>TEE</v>
      </c>
      <c r="H84" t="str">
        <f>VLOOKUP('E-impôts'!A84,Feuil2!$A$1:$AA$298,10,0)</f>
        <v>SARL</v>
      </c>
      <c r="I84" t="str">
        <f>VLOOKUP('E-impôts'!A84,Feuil2!$A$1:$AA$298,5,0)</f>
        <v>OUEDRAOGO WENPANGA MARIUS</v>
      </c>
      <c r="J84" t="str">
        <f>VLOOKUP('E-impôts'!A84,Feuil2!$A$1:$AA$298,19,0)</f>
        <v>07 07 79 93 33 65</v>
      </c>
      <c r="K84" t="str">
        <f>VLOOKUP('E-impôts'!A84,Feuil2!$A$1:$AA$298,9,0)</f>
        <v>CI-ABJ-03-2023-B12-05456</v>
      </c>
      <c r="L84" t="str">
        <f>VLOOKUP('E-impôts'!A84,Feuil2!$A$1:$AA$298,15,0)</f>
        <v>II Plateaux Djibi</v>
      </c>
      <c r="M84" t="str">
        <f>VLOOKUP('E-impôts'!A84,Feuil2!$A$1:$AA$298,13,0)</f>
        <v>VZ</v>
      </c>
      <c r="N84">
        <f>VLOOKUP('E-impôts'!A84,Feuil2!$A$1:$AA$298,14,0)</f>
        <v>50</v>
      </c>
      <c r="O84" t="str">
        <f>VLOOKUP('E-impôts'!A84,Feuil2!$A$1:$AA$298,16,0)</f>
        <v>IND1504</v>
      </c>
      <c r="P84">
        <f>VLOOKUP(A84,Feuil2!$A$1:$AA$298,17,0)</f>
        <v>1000000</v>
      </c>
    </row>
    <row r="85" spans="1:16">
      <c r="A85" t="s">
        <v>164</v>
      </c>
      <c r="B85" t="s">
        <v>165</v>
      </c>
      <c r="C85" t="str">
        <f>VLOOKUP('E-impôts'!A85,Feuil2!$A$1:$AA$298,4,0)</f>
        <v>KOFFI ALBERT</v>
      </c>
      <c r="D85" s="1">
        <v>44589</v>
      </c>
      <c r="E85" t="str">
        <f>VLOOKUP('E-impôts'!A85,Feuil2!$A$1:$AA$298,8,0)</f>
        <v>DCK-CGA2022-J025</v>
      </c>
      <c r="F85" t="str">
        <f>VLOOKUP('E-impôts'!A85,Feuil2!$A$1:$AA$298,24,0)</f>
        <v xml:space="preserve">ABATTA </v>
      </c>
      <c r="G85" t="str">
        <f>VLOOKUP('E-impôts'!A85,Feuil2!$A$1:$AA$298,11,0)</f>
        <v>TEE</v>
      </c>
      <c r="H85" t="str">
        <f>VLOOKUP('E-impôts'!A85,Feuil2!$A$1:$AA$298,10,0)</f>
        <v>SARL</v>
      </c>
      <c r="I85" t="str">
        <f>VLOOKUP('E-impôts'!A85,Feuil2!$A$1:$AA$298,5,0)</f>
        <v>NULL</v>
      </c>
      <c r="J85">
        <f>VLOOKUP('E-impôts'!A85,Feuil2!$A$1:$AA$298,19,0)</f>
        <v>505199503</v>
      </c>
      <c r="K85" t="str">
        <f>VLOOKUP('E-impôts'!A85,Feuil2!$A$1:$AA$298,9,0)</f>
        <v>NULL</v>
      </c>
      <c r="L85" t="str">
        <f>VLOOKUP('E-impôts'!A85,Feuil2!$A$1:$AA$298,15,0)</f>
        <v>Bingerville</v>
      </c>
      <c r="M85" t="str">
        <f>VLOOKUP('E-impôts'!A85,Feuil2!$A$1:$AA$298,13,0)</f>
        <v>NULL</v>
      </c>
      <c r="N85" t="str">
        <f>VLOOKUP('E-impôts'!A85,Feuil2!$A$1:$AA$298,14,0)</f>
        <v>NULL</v>
      </c>
      <c r="O85" t="str">
        <f>VLOOKUP('E-impôts'!A85,Feuil2!$A$1:$AA$298,16,0)</f>
        <v>NULL</v>
      </c>
      <c r="P85" t="str">
        <f>VLOOKUP(A85,Feuil2!$A$1:$AA$298,17,0)</f>
        <v>NULL</v>
      </c>
    </row>
    <row r="86" spans="1:16">
      <c r="A86" t="s">
        <v>166</v>
      </c>
      <c r="B86" t="s">
        <v>167</v>
      </c>
      <c r="C86" t="e">
        <f>VLOOKUP('E-impôts'!A86,Feuil2!$A$1:$AA$298,4,0)</f>
        <v>#N/A</v>
      </c>
      <c r="D86" s="1">
        <v>45069</v>
      </c>
      <c r="E86" t="e">
        <f>VLOOKUP('E-impôts'!A86,Feuil2!$A$1:$AA$298,8,0)</f>
        <v>#N/A</v>
      </c>
      <c r="F86" t="e">
        <f>VLOOKUP('E-impôts'!A86,Feuil2!$A$1:$AA$298,24,0)</f>
        <v>#N/A</v>
      </c>
      <c r="G86" t="e">
        <f>VLOOKUP('E-impôts'!A86,Feuil2!$A$1:$AA$298,11,0)</f>
        <v>#N/A</v>
      </c>
      <c r="H86" t="e">
        <f>VLOOKUP('E-impôts'!A86,Feuil2!$A$1:$AA$298,10,0)</f>
        <v>#N/A</v>
      </c>
      <c r="I86" t="e">
        <f>VLOOKUP('E-impôts'!A86,Feuil2!$A$1:$AA$298,5,0)</f>
        <v>#N/A</v>
      </c>
      <c r="J86" t="e">
        <f>VLOOKUP('E-impôts'!A86,Feuil2!$A$1:$AA$298,19,0)</f>
        <v>#N/A</v>
      </c>
      <c r="K86" t="e">
        <f>VLOOKUP('E-impôts'!A86,Feuil2!$A$1:$AA$298,9,0)</f>
        <v>#N/A</v>
      </c>
      <c r="L86" t="e">
        <f>VLOOKUP('E-impôts'!A86,Feuil2!$A$1:$AA$298,15,0)</f>
        <v>#N/A</v>
      </c>
      <c r="M86" t="e">
        <f>VLOOKUP('E-impôts'!A86,Feuil2!$A$1:$AA$298,13,0)</f>
        <v>#N/A</v>
      </c>
      <c r="N86" t="e">
        <f>VLOOKUP('E-impôts'!A86,Feuil2!$A$1:$AA$298,14,0)</f>
        <v>#N/A</v>
      </c>
      <c r="O86" t="e">
        <f>VLOOKUP('E-impôts'!A86,Feuil2!$A$1:$AA$298,16,0)</f>
        <v>#N/A</v>
      </c>
      <c r="P86" t="e">
        <f>VLOOKUP(A86,Feuil2!$A$1:$AA$298,17,0)</f>
        <v>#N/A</v>
      </c>
    </row>
    <row r="87" spans="1:16">
      <c r="A87" t="s">
        <v>168</v>
      </c>
      <c r="B87" t="s">
        <v>650</v>
      </c>
      <c r="C87" t="e">
        <f>VLOOKUP('E-impôts'!A87,Feuil2!$A$1:$AA$298,4,0)</f>
        <v>#N/A</v>
      </c>
      <c r="D87" s="1">
        <v>43857</v>
      </c>
      <c r="E87" t="e">
        <f>VLOOKUP('E-impôts'!A87,Feuil2!$A$1:$AA$298,8,0)</f>
        <v>#N/A</v>
      </c>
      <c r="F87" t="e">
        <f>VLOOKUP('E-impôts'!A87,Feuil2!$A$1:$AA$298,24,0)</f>
        <v>#N/A</v>
      </c>
      <c r="G87" t="e">
        <f>VLOOKUP('E-impôts'!A87,Feuil2!$A$1:$AA$298,11,0)</f>
        <v>#N/A</v>
      </c>
      <c r="H87" t="e">
        <f>VLOOKUP('E-impôts'!A87,Feuil2!$A$1:$AA$298,10,0)</f>
        <v>#N/A</v>
      </c>
      <c r="I87" t="e">
        <f>VLOOKUP('E-impôts'!A87,Feuil2!$A$1:$AA$298,5,0)</f>
        <v>#N/A</v>
      </c>
      <c r="J87" t="e">
        <f>VLOOKUP('E-impôts'!A87,Feuil2!$A$1:$AA$298,19,0)</f>
        <v>#N/A</v>
      </c>
      <c r="K87" t="e">
        <f>VLOOKUP('E-impôts'!A87,Feuil2!$A$1:$AA$298,9,0)</f>
        <v>#N/A</v>
      </c>
      <c r="L87" t="e">
        <f>VLOOKUP('E-impôts'!A87,Feuil2!$A$1:$AA$298,15,0)</f>
        <v>#N/A</v>
      </c>
      <c r="M87" t="e">
        <f>VLOOKUP('E-impôts'!A87,Feuil2!$A$1:$AA$298,13,0)</f>
        <v>#N/A</v>
      </c>
      <c r="N87" t="e">
        <f>VLOOKUP('E-impôts'!A87,Feuil2!$A$1:$AA$298,14,0)</f>
        <v>#N/A</v>
      </c>
      <c r="O87" t="e">
        <f>VLOOKUP('E-impôts'!A87,Feuil2!$A$1:$AA$298,16,0)</f>
        <v>#N/A</v>
      </c>
      <c r="P87" t="e">
        <f>VLOOKUP(A87,Feuil2!$A$1:$AA$298,17,0)</f>
        <v>#N/A</v>
      </c>
    </row>
    <row r="88" spans="1:16">
      <c r="A88" t="s">
        <v>169</v>
      </c>
      <c r="B88" t="s">
        <v>170</v>
      </c>
      <c r="C88" t="str">
        <f>VLOOKUP('E-impôts'!A88,Feuil2!$A$1:$AA$298,4,0)</f>
        <v>DCK</v>
      </c>
      <c r="D88" s="1">
        <v>43479</v>
      </c>
      <c r="E88" t="str">
        <f>VLOOKUP('E-impôts'!A88,Feuil2!$A$1:$AA$298,8,0)</f>
        <v>DCK-CGA2019-A010</v>
      </c>
      <c r="F88" t="str">
        <f>VLOOKUP('E-impôts'!A88,Feuil2!$A$1:$AA$298,24,0)</f>
        <v xml:space="preserve">II PLATEUX VALLON </v>
      </c>
      <c r="G88" t="str">
        <f>VLOOKUP('E-impôts'!A88,Feuil2!$A$1:$AA$298,11,0)</f>
        <v>TEE</v>
      </c>
      <c r="H88" t="str">
        <f>VLOOKUP('E-impôts'!A88,Feuil2!$A$1:$AA$298,10,0)</f>
        <v>ENTREPRISE INDIVIDUELLE</v>
      </c>
      <c r="I88" t="s">
        <v>170</v>
      </c>
      <c r="J88">
        <f>VLOOKUP('E-impôts'!A88,Feuil2!$A$1:$AA$298,19,0)</f>
        <v>708048295</v>
      </c>
      <c r="K88" t="str">
        <f>VLOOKUP('E-impôts'!A88,Feuil2!$A$1:$AA$298,9,0)</f>
        <v>NULL</v>
      </c>
      <c r="L88" t="str">
        <f>VLOOKUP('E-impôts'!A88,Feuil2!$A$1:$AA$298,15,0)</f>
        <v>II Plateaux II</v>
      </c>
      <c r="M88" t="str">
        <f>VLOOKUP('E-impôts'!A88,Feuil2!$A$1:$AA$298,13,0)</f>
        <v>NULL</v>
      </c>
      <c r="N88" t="str">
        <f>VLOOKUP('E-impôts'!A88,Feuil2!$A$1:$AA$298,14,0)</f>
        <v>NULL</v>
      </c>
      <c r="O88" t="s">
        <v>2380</v>
      </c>
      <c r="P88" t="str">
        <f>VLOOKUP(A88,Feuil2!$A$1:$AA$298,17,0)</f>
        <v>NULL</v>
      </c>
    </row>
    <row r="89" spans="1:16">
      <c r="A89" t="s">
        <v>171</v>
      </c>
      <c r="B89" t="s">
        <v>172</v>
      </c>
      <c r="C89" t="str">
        <f>VLOOKUP('E-impôts'!A89,Feuil2!$A$1:$AA$298,4,0)</f>
        <v>DCK</v>
      </c>
      <c r="D89" s="1">
        <v>43479</v>
      </c>
      <c r="E89" t="str">
        <f>VLOOKUP('E-impôts'!A89,Feuil2!$A$1:$AA$298,8,0)</f>
        <v>DCK-CGA2019-A029</v>
      </c>
      <c r="F89" t="str">
        <f>VLOOKUP('E-impôts'!A89,Feuil2!$A$1:$AA$298,24,0)</f>
        <v xml:space="preserve">COCODY RIVIERA BONOUMIN </v>
      </c>
      <c r="G89" t="str">
        <f>VLOOKUP('E-impôts'!A89,Feuil2!$A$1:$AA$298,11,0)</f>
        <v>TEE</v>
      </c>
      <c r="H89" t="str">
        <f>VLOOKUP('E-impôts'!A89,Feuil2!$A$1:$AA$298,10,0)</f>
        <v>SARL</v>
      </c>
      <c r="I89" t="str">
        <f>VLOOKUP('E-impôts'!A89,Feuil2!$A$1:$AA$298,5,0)</f>
        <v>NULL</v>
      </c>
      <c r="J89">
        <f>VLOOKUP('E-impôts'!A89,Feuil2!$A$1:$AA$298,19,0)</f>
        <v>707070102</v>
      </c>
      <c r="K89" t="str">
        <f>VLOOKUP('E-impôts'!A89,Feuil2!$A$1:$AA$298,9,0)</f>
        <v>NULL</v>
      </c>
      <c r="L89" t="str">
        <f>VLOOKUP('E-impôts'!A89,Feuil2!$A$1:$AA$298,15,0)</f>
        <v>II Plateaux I</v>
      </c>
      <c r="M89" t="str">
        <f>VLOOKUP('E-impôts'!A89,Feuil2!$A$1:$AA$298,13,0)</f>
        <v>NULL</v>
      </c>
      <c r="N89" t="str">
        <f>VLOOKUP('E-impôts'!A89,Feuil2!$A$1:$AA$298,14,0)</f>
        <v>NULL</v>
      </c>
      <c r="O89" t="str">
        <f>VLOOKUP('E-impôts'!A89,Feuil2!$A$1:$AA$298,16,0)</f>
        <v>NULL</v>
      </c>
      <c r="P89" t="str">
        <f>VLOOKUP(A89,Feuil2!$A$1:$AA$298,17,0)</f>
        <v>NULL</v>
      </c>
    </row>
    <row r="90" spans="1:16">
      <c r="A90" t="s">
        <v>173</v>
      </c>
      <c r="B90" t="s">
        <v>174</v>
      </c>
      <c r="C90" t="e">
        <f>VLOOKUP('E-impôts'!A90,Feuil2!$A$1:$AA$298,4,0)</f>
        <v>#N/A</v>
      </c>
      <c r="D90" s="1">
        <v>44224</v>
      </c>
      <c r="E90" t="e">
        <f>VLOOKUP('E-impôts'!A90,Feuil2!$A$1:$AA$298,8,0)</f>
        <v>#N/A</v>
      </c>
      <c r="F90" t="e">
        <f>VLOOKUP('E-impôts'!A90,Feuil2!$A$1:$AA$298,24,0)</f>
        <v>#N/A</v>
      </c>
      <c r="G90" t="e">
        <f>VLOOKUP('E-impôts'!A90,Feuil2!$A$1:$AA$298,11,0)</f>
        <v>#N/A</v>
      </c>
      <c r="H90" t="e">
        <f>VLOOKUP('E-impôts'!A90,Feuil2!$A$1:$AA$298,10,0)</f>
        <v>#N/A</v>
      </c>
      <c r="I90" t="e">
        <f>VLOOKUP('E-impôts'!A90,Feuil2!$A$1:$AA$298,5,0)</f>
        <v>#N/A</v>
      </c>
      <c r="J90" t="e">
        <f>VLOOKUP('E-impôts'!A90,Feuil2!$A$1:$AA$298,19,0)</f>
        <v>#N/A</v>
      </c>
      <c r="K90" t="e">
        <f>VLOOKUP('E-impôts'!A90,Feuil2!$A$1:$AA$298,9,0)</f>
        <v>#N/A</v>
      </c>
      <c r="L90" t="e">
        <f>VLOOKUP('E-impôts'!A90,Feuil2!$A$1:$AA$298,15,0)</f>
        <v>#N/A</v>
      </c>
      <c r="M90" t="e">
        <f>VLOOKUP('E-impôts'!A90,Feuil2!$A$1:$AA$298,13,0)</f>
        <v>#N/A</v>
      </c>
      <c r="N90" t="e">
        <f>VLOOKUP('E-impôts'!A90,Feuil2!$A$1:$AA$298,14,0)</f>
        <v>#N/A</v>
      </c>
      <c r="O90" t="e">
        <f>VLOOKUP('E-impôts'!A90,Feuil2!$A$1:$AA$298,16,0)</f>
        <v>#N/A</v>
      </c>
      <c r="P90" t="e">
        <f>VLOOKUP(A90,Feuil2!$A$1:$AA$298,17,0)</f>
        <v>#N/A</v>
      </c>
    </row>
    <row r="91" spans="1:16">
      <c r="A91" t="s">
        <v>175</v>
      </c>
      <c r="B91" t="s">
        <v>176</v>
      </c>
      <c r="C91" t="e">
        <f>VLOOKUP('E-impôts'!A91,Feuil2!$A$1:$AA$298,4,0)</f>
        <v>#N/A</v>
      </c>
      <c r="D91" s="1">
        <v>45316</v>
      </c>
      <c r="E91" t="str">
        <f>VLOOKUP('E-impôts'!A91,Feuil2!$A$1:$AA$298,8,0)</f>
        <v>DCK-CGA2024-A036</v>
      </c>
      <c r="F91" t="str">
        <f>VLOOKUP('E-impôts'!A91,Feuil2!$A$1:$AA$298,24,0)</f>
        <v>ANGRE STAR 8Ã¨me</v>
      </c>
      <c r="G91" t="str">
        <f>VLOOKUP('E-impôts'!A91,Feuil2!$A$1:$AA$298,11,0)</f>
        <v>TEE</v>
      </c>
      <c r="H91" t="str">
        <f>VLOOKUP('E-impôts'!A91,Feuil2!$A$1:$AA$298,10,0)</f>
        <v>SARL</v>
      </c>
      <c r="I91" t="str">
        <f>VLOOKUP('E-impôts'!A91,Feuil2!$A$1:$AA$298,5,0)</f>
        <v>DJAHO SERAPHIN</v>
      </c>
      <c r="J91">
        <f>VLOOKUP('E-impôts'!A91,Feuil2!$A$1:$AA$298,19,0)</f>
        <v>779241124</v>
      </c>
      <c r="K91" t="str">
        <f>VLOOKUP('E-impôts'!A91,Feuil2!$A$1:$AA$298,9,0)</f>
        <v>CI-ABJ-03-2023-B12-05053</v>
      </c>
      <c r="L91" t="str">
        <f>VLOOKUP('E-impôts'!A91,Feuil2!$A$1:$AA$298,15,0)</f>
        <v>II Pateaux I</v>
      </c>
      <c r="M91">
        <f>VLOOKUP('E-impôts'!A91,Feuil2!$A$1:$AA$298,13,0)</f>
        <v>0</v>
      </c>
      <c r="N91">
        <f>VLOOKUP('E-impôts'!A91,Feuil2!$A$1:$AA$298,14,0)</f>
        <v>0</v>
      </c>
      <c r="O91">
        <f>VLOOKUP('E-impôts'!A91,Feuil2!$A$1:$AA$298,16,0)</f>
        <v>0</v>
      </c>
      <c r="P91">
        <f>VLOOKUP(A91,Feuil2!$A$1:$AA$298,17,0)</f>
        <v>1000000</v>
      </c>
    </row>
    <row r="92" spans="1:16">
      <c r="A92" t="s">
        <v>177</v>
      </c>
      <c r="B92" t="s">
        <v>178</v>
      </c>
      <c r="C92" t="e">
        <f>VLOOKUP('E-impôts'!A92,Feuil2!$A$1:$AA$298,4,0)</f>
        <v>#N/A</v>
      </c>
      <c r="D92" s="1">
        <v>45321</v>
      </c>
      <c r="E92" t="str">
        <f>VLOOKUP('E-impôts'!A92,Feuil2!$A$1:$AA$298,8,0)</f>
        <v>DCK-CGA2024-A082</v>
      </c>
      <c r="F92" t="str">
        <f>VLOOKUP('E-impôts'!A92,Feuil2!$A$1:$AA$298,24,0)</f>
        <v>ABIDJAN COCODY RIVIERA PALMERAIE RUE MINISTRE</v>
      </c>
      <c r="G92" t="str">
        <f>VLOOKUP('E-impôts'!A92,Feuil2!$A$1:$AA$298,11,0)</f>
        <v>TEE</v>
      </c>
      <c r="H92" t="str">
        <f>VLOOKUP('E-impôts'!A92,Feuil2!$A$1:$AA$298,10,0)</f>
        <v>SARL</v>
      </c>
      <c r="I92" t="str">
        <f>VLOOKUP('E-impôts'!A92,Feuil2!$A$1:$AA$298,5,0)</f>
        <v>AMEYAO BORIS AUDREY</v>
      </c>
      <c r="J92">
        <f>VLOOKUP('E-impôts'!A92,Feuil2!$A$1:$AA$298,19,0)</f>
        <v>708152404</v>
      </c>
      <c r="K92" t="str">
        <f>VLOOKUP('E-impôts'!A92,Feuil2!$A$1:$AA$298,9,0)</f>
        <v>CI-ABJ-03-2021-B12-00567</v>
      </c>
      <c r="L92" t="str">
        <f>VLOOKUP('E-impôts'!A92,Feuil2!$A$1:$AA$298,15,0)</f>
        <v>Riviera II</v>
      </c>
      <c r="M92" t="str">
        <f>VLOOKUP('E-impôts'!A92,Feuil2!$A$1:$AA$298,13,0)</f>
        <v>VX</v>
      </c>
      <c r="N92">
        <f>VLOOKUP('E-impôts'!A92,Feuil2!$A$1:$AA$298,14,0)</f>
        <v>228</v>
      </c>
      <c r="O92" t="str">
        <f>VLOOKUP('E-impôts'!A92,Feuil2!$A$1:$AA$298,16,0)</f>
        <v>SCE0106</v>
      </c>
      <c r="P92">
        <f>VLOOKUP(A92,Feuil2!$A$1:$AA$298,17,0)</f>
        <v>1000000</v>
      </c>
    </row>
    <row r="93" spans="1:16">
      <c r="A93" t="s">
        <v>179</v>
      </c>
      <c r="B93" t="s">
        <v>180</v>
      </c>
      <c r="C93" t="str">
        <f>VLOOKUP('E-impôts'!A93,Feuil2!$A$1:$AA$298,4,0)</f>
        <v>DCK</v>
      </c>
      <c r="D93" s="1">
        <v>45321</v>
      </c>
      <c r="E93">
        <f>VLOOKUP('E-impôts'!A93,Feuil2!$A$1:$AA$298,8,0)</f>
        <v>0</v>
      </c>
      <c r="F93" t="str">
        <f>VLOOKUP('E-impôts'!A93,Feuil2!$A$1:$AA$298,24,0)</f>
        <v xml:space="preserve">COCODY II PLATEAUX VALLON </v>
      </c>
      <c r="G93" t="str">
        <f>VLOOKUP('E-impôts'!A93,Feuil2!$A$1:$AA$298,11,0)</f>
        <v>RME</v>
      </c>
      <c r="H93" t="str">
        <f>VLOOKUP('E-impôts'!A93,Feuil2!$A$1:$AA$298,10,0)</f>
        <v>SA</v>
      </c>
      <c r="I93" t="str">
        <f>VLOOKUP('E-impôts'!A93,Feuil2!$A$1:$AA$298,5,0)</f>
        <v>NULL</v>
      </c>
      <c r="J93">
        <f>VLOOKUP('E-impôts'!A93,Feuil2!$A$1:$AA$298,19,0)</f>
        <v>757315050</v>
      </c>
      <c r="K93" t="str">
        <f>VLOOKUP('E-impôts'!A93,Feuil2!$A$1:$AA$298,9,0)</f>
        <v>NULL</v>
      </c>
      <c r="L93" t="str">
        <f>VLOOKUP('E-impôts'!A93,Feuil2!$A$1:$AA$298,15,0)</f>
        <v>II Plateaux II</v>
      </c>
      <c r="M93" t="str">
        <f>VLOOKUP('E-impôts'!A93,Feuil2!$A$1:$AA$298,13,0)</f>
        <v>NULL</v>
      </c>
      <c r="N93" t="str">
        <f>VLOOKUP('E-impôts'!A93,Feuil2!$A$1:$AA$298,14,0)</f>
        <v>NULL</v>
      </c>
      <c r="O93" t="str">
        <f>VLOOKUP('E-impôts'!A93,Feuil2!$A$1:$AA$298,16,0)</f>
        <v>NULL</v>
      </c>
      <c r="P93" t="str">
        <f>VLOOKUP(A93,Feuil2!$A$1:$AA$298,17,0)</f>
        <v>NULL</v>
      </c>
    </row>
    <row r="94" spans="1:16">
      <c r="A94" t="s">
        <v>181</v>
      </c>
      <c r="B94" t="s">
        <v>182</v>
      </c>
      <c r="C94" t="str">
        <f>VLOOKUP('E-impôts'!A94,Feuil2!$A$1:$AA$298,4,0)</f>
        <v>KOFFI ALBERT</v>
      </c>
      <c r="D94" s="1">
        <v>44935</v>
      </c>
      <c r="E94" t="str">
        <f>VLOOKUP('E-impôts'!A94,Feuil2!$A$1:$AA$298,8,0)</f>
        <v>DCK-CGA2023-J001</v>
      </c>
      <c r="F94" t="str">
        <f>VLOOKUP('E-impôts'!A94,Feuil2!$A$1:$AA$298,24,0)</f>
        <v xml:space="preserve">BINGERVILLE </v>
      </c>
      <c r="G94" t="str">
        <f>VLOOKUP('E-impôts'!A94,Feuil2!$A$1:$AA$298,11,0)</f>
        <v>TEE</v>
      </c>
      <c r="H94" t="str">
        <f>VLOOKUP('E-impôts'!A94,Feuil2!$A$1:$AA$298,10,0)</f>
        <v>SARL</v>
      </c>
      <c r="I94" t="str">
        <f>VLOOKUP('E-impôts'!A94,Feuil2!$A$1:$AA$298,5,0)</f>
        <v>NULL</v>
      </c>
      <c r="J94">
        <f>VLOOKUP('E-impôts'!A94,Feuil2!$A$1:$AA$298,19,0)</f>
        <v>759166503</v>
      </c>
      <c r="K94" t="str">
        <f>VLOOKUP('E-impôts'!A94,Feuil2!$A$1:$AA$298,9,0)</f>
        <v>NULL</v>
      </c>
      <c r="L94" t="str">
        <f>VLOOKUP('E-impôts'!A94,Feuil2!$A$1:$AA$298,15,0)</f>
        <v>Bingerville</v>
      </c>
      <c r="M94" t="str">
        <f>VLOOKUP('E-impôts'!A94,Feuil2!$A$1:$AA$298,13,0)</f>
        <v>NULL</v>
      </c>
      <c r="N94" t="str">
        <f>VLOOKUP('E-impôts'!A94,Feuil2!$A$1:$AA$298,14,0)</f>
        <v>NULL</v>
      </c>
      <c r="O94" t="str">
        <f>VLOOKUP('E-impôts'!A94,Feuil2!$A$1:$AA$298,16,0)</f>
        <v>NULL</v>
      </c>
      <c r="P94" t="str">
        <f>VLOOKUP(A94,Feuil2!$A$1:$AA$298,17,0)</f>
        <v>NULL</v>
      </c>
    </row>
    <row r="95" spans="1:16">
      <c r="A95" t="s">
        <v>183</v>
      </c>
      <c r="B95" t="s">
        <v>184</v>
      </c>
      <c r="C95" t="e">
        <f>VLOOKUP('E-impôts'!A95,Feuil2!$A$1:$AA$298,4,0)</f>
        <v>#N/A</v>
      </c>
      <c r="D95" s="1">
        <v>44614</v>
      </c>
      <c r="E95" t="e">
        <f>VLOOKUP('E-impôts'!A95,Feuil2!$A$1:$AA$298,8,0)</f>
        <v>#N/A</v>
      </c>
      <c r="F95" t="e">
        <f>VLOOKUP('E-impôts'!A95,Feuil2!$A$1:$AA$298,24,0)</f>
        <v>#N/A</v>
      </c>
      <c r="G95" t="e">
        <f>VLOOKUP('E-impôts'!A95,Feuil2!$A$1:$AA$298,11,0)</f>
        <v>#N/A</v>
      </c>
      <c r="H95" t="e">
        <f>VLOOKUP('E-impôts'!A95,Feuil2!$A$1:$AA$298,10,0)</f>
        <v>#N/A</v>
      </c>
      <c r="I95" t="e">
        <f>VLOOKUP('E-impôts'!A95,Feuil2!$A$1:$AA$298,5,0)</f>
        <v>#N/A</v>
      </c>
      <c r="J95" t="e">
        <f>VLOOKUP('E-impôts'!A95,Feuil2!$A$1:$AA$298,19,0)</f>
        <v>#N/A</v>
      </c>
      <c r="K95" t="e">
        <f>VLOOKUP('E-impôts'!A95,Feuil2!$A$1:$AA$298,9,0)</f>
        <v>#N/A</v>
      </c>
      <c r="L95" t="e">
        <f>VLOOKUP('E-impôts'!A95,Feuil2!$A$1:$AA$298,15,0)</f>
        <v>#N/A</v>
      </c>
      <c r="M95" t="e">
        <f>VLOOKUP('E-impôts'!A95,Feuil2!$A$1:$AA$298,13,0)</f>
        <v>#N/A</v>
      </c>
      <c r="N95" t="e">
        <f>VLOOKUP('E-impôts'!A95,Feuil2!$A$1:$AA$298,14,0)</f>
        <v>#N/A</v>
      </c>
      <c r="O95" t="e">
        <f>VLOOKUP('E-impôts'!A95,Feuil2!$A$1:$AA$298,16,0)</f>
        <v>#N/A</v>
      </c>
      <c r="P95" t="e">
        <f>VLOOKUP(A95,Feuil2!$A$1:$AA$298,17,0)</f>
        <v>#N/A</v>
      </c>
    </row>
    <row r="96" spans="1:16">
      <c r="A96" t="s">
        <v>185</v>
      </c>
      <c r="B96" t="s">
        <v>186</v>
      </c>
      <c r="C96" t="e">
        <f>VLOOKUP('E-impôts'!A96,Feuil2!$A$1:$AA$298,4,0)</f>
        <v>#N/A</v>
      </c>
      <c r="D96" s="1">
        <v>43860</v>
      </c>
      <c r="E96" t="e">
        <f>VLOOKUP('E-impôts'!A96,Feuil2!$A$1:$AA$298,8,0)</f>
        <v>#N/A</v>
      </c>
      <c r="F96" t="e">
        <f>VLOOKUP('E-impôts'!A96,Feuil2!$A$1:$AA$298,24,0)</f>
        <v>#N/A</v>
      </c>
      <c r="G96" t="e">
        <f>VLOOKUP('E-impôts'!A96,Feuil2!$A$1:$AA$298,11,0)</f>
        <v>#N/A</v>
      </c>
      <c r="H96" t="e">
        <f>VLOOKUP('E-impôts'!A96,Feuil2!$A$1:$AA$298,10,0)</f>
        <v>#N/A</v>
      </c>
      <c r="I96" t="e">
        <f>VLOOKUP('E-impôts'!A96,Feuil2!$A$1:$AA$298,5,0)</f>
        <v>#N/A</v>
      </c>
      <c r="J96" t="e">
        <f>VLOOKUP('E-impôts'!A96,Feuil2!$A$1:$AA$298,19,0)</f>
        <v>#N/A</v>
      </c>
      <c r="K96" t="e">
        <f>VLOOKUP('E-impôts'!A96,Feuil2!$A$1:$AA$298,9,0)</f>
        <v>#N/A</v>
      </c>
      <c r="L96" t="e">
        <f>VLOOKUP('E-impôts'!A96,Feuil2!$A$1:$AA$298,15,0)</f>
        <v>#N/A</v>
      </c>
      <c r="M96" t="e">
        <f>VLOOKUP('E-impôts'!A96,Feuil2!$A$1:$AA$298,13,0)</f>
        <v>#N/A</v>
      </c>
      <c r="N96" t="e">
        <f>VLOOKUP('E-impôts'!A96,Feuil2!$A$1:$AA$298,14,0)</f>
        <v>#N/A</v>
      </c>
      <c r="O96" t="e">
        <f>VLOOKUP('E-impôts'!A96,Feuil2!$A$1:$AA$298,16,0)</f>
        <v>#N/A</v>
      </c>
      <c r="P96" t="e">
        <f>VLOOKUP(A96,Feuil2!$A$1:$AA$298,17,0)</f>
        <v>#N/A</v>
      </c>
    </row>
    <row r="97" spans="1:16">
      <c r="A97" t="s">
        <v>187</v>
      </c>
      <c r="B97" t="s">
        <v>188</v>
      </c>
      <c r="C97" t="str">
        <f>VLOOKUP('E-impôts'!A97,Feuil2!$A$1:$AA$298,4,0)</f>
        <v>CABINET CFA</v>
      </c>
      <c r="D97" s="1">
        <v>44222</v>
      </c>
      <c r="E97" t="str">
        <f>VLOOKUP('E-impôts'!A97,Feuil2!$A$1:$AA$298,8,0)</f>
        <v>DCK-CGA2021-Q137</v>
      </c>
      <c r="F97" t="str">
        <f>VLOOKUP('E-impôts'!A97,Feuil2!$A$1:$AA$298,24,0)</f>
        <v xml:space="preserve">ANGRE CAFEIIER </v>
      </c>
      <c r="G97" t="str">
        <f>VLOOKUP('E-impôts'!A97,Feuil2!$A$1:$AA$298,11,0)</f>
        <v>TEE</v>
      </c>
      <c r="H97" t="str">
        <f>VLOOKUP('E-impôts'!A97,Feuil2!$A$1:$AA$298,10,0)</f>
        <v>ENTREPRISE INDIVIDUELLE</v>
      </c>
      <c r="I97" t="str">
        <f>VLOOKUP('E-impôts'!A97,Feuil2!$A$1:$AA$298,5,0)</f>
        <v>NULL</v>
      </c>
      <c r="J97">
        <f>VLOOKUP('E-impôts'!A97,Feuil2!$A$1:$AA$298,19,0)</f>
        <v>0</v>
      </c>
      <c r="K97" t="str">
        <f>VLOOKUP('E-impôts'!A97,Feuil2!$A$1:$AA$298,9,0)</f>
        <v>NULL</v>
      </c>
      <c r="L97" t="str">
        <f>VLOOKUP('E-impôts'!A97,Feuil2!$A$1:$AA$298,15,0)</f>
        <v>II Plateaux II</v>
      </c>
      <c r="M97" t="str">
        <f>VLOOKUP('E-impôts'!A97,Feuil2!$A$1:$AA$298,13,0)</f>
        <v>NULL</v>
      </c>
      <c r="N97" t="str">
        <f>VLOOKUP('E-impôts'!A97,Feuil2!$A$1:$AA$298,14,0)</f>
        <v>NULL</v>
      </c>
      <c r="O97" t="str">
        <f>VLOOKUP('E-impôts'!A97,Feuil2!$A$1:$AA$298,16,0)</f>
        <v>NULL</v>
      </c>
      <c r="P97" t="str">
        <f>VLOOKUP(A97,Feuil2!$A$1:$AA$298,17,0)</f>
        <v>NULL</v>
      </c>
    </row>
    <row r="98" spans="1:16">
      <c r="A98" t="s">
        <v>189</v>
      </c>
      <c r="B98" t="s">
        <v>190</v>
      </c>
      <c r="C98" t="e">
        <f>VLOOKUP('E-impôts'!A98,Feuil2!$A$1:$AA$298,4,0)</f>
        <v>#N/A</v>
      </c>
      <c r="D98" s="1">
        <v>44939</v>
      </c>
      <c r="E98" t="e">
        <f>VLOOKUP('E-impôts'!A98,Feuil2!$A$1:$AA$298,8,0)</f>
        <v>#N/A</v>
      </c>
      <c r="F98" t="e">
        <f>VLOOKUP('E-impôts'!A98,Feuil2!$A$1:$AA$298,24,0)</f>
        <v>#N/A</v>
      </c>
      <c r="G98" t="e">
        <f>VLOOKUP('E-impôts'!A98,Feuil2!$A$1:$AA$298,11,0)</f>
        <v>#N/A</v>
      </c>
      <c r="H98" t="e">
        <f>VLOOKUP('E-impôts'!A98,Feuil2!$A$1:$AA$298,10,0)</f>
        <v>#N/A</v>
      </c>
      <c r="I98" t="e">
        <f>VLOOKUP('E-impôts'!A98,Feuil2!$A$1:$AA$298,5,0)</f>
        <v>#N/A</v>
      </c>
      <c r="J98" t="e">
        <f>VLOOKUP('E-impôts'!A98,Feuil2!$A$1:$AA$298,19,0)</f>
        <v>#N/A</v>
      </c>
      <c r="K98" t="e">
        <f>VLOOKUP('E-impôts'!A98,Feuil2!$A$1:$AA$298,9,0)</f>
        <v>#N/A</v>
      </c>
      <c r="L98" t="e">
        <f>VLOOKUP('E-impôts'!A98,Feuil2!$A$1:$AA$298,15,0)</f>
        <v>#N/A</v>
      </c>
      <c r="M98" t="e">
        <f>VLOOKUP('E-impôts'!A98,Feuil2!$A$1:$AA$298,13,0)</f>
        <v>#N/A</v>
      </c>
      <c r="N98" t="e">
        <f>VLOOKUP('E-impôts'!A98,Feuil2!$A$1:$AA$298,14,0)</f>
        <v>#N/A</v>
      </c>
      <c r="O98" t="e">
        <f>VLOOKUP('E-impôts'!A98,Feuil2!$A$1:$AA$298,16,0)</f>
        <v>#N/A</v>
      </c>
      <c r="P98" t="e">
        <f>VLOOKUP(A98,Feuil2!$A$1:$AA$298,17,0)</f>
        <v>#N/A</v>
      </c>
    </row>
    <row r="99" spans="1:16">
      <c r="A99" t="s">
        <v>191</v>
      </c>
      <c r="B99" t="s">
        <v>192</v>
      </c>
      <c r="C99" t="str">
        <f>VLOOKUP('E-impôts'!A99,Feuil2!$A$1:$AA$298,4,0)</f>
        <v>KOFFI ALBERT</v>
      </c>
      <c r="D99" s="1">
        <v>44760</v>
      </c>
      <c r="E99" t="str">
        <f>VLOOKUP('E-impôts'!A99,Feuil2!$A$1:$AA$298,8,0)</f>
        <v>DCK-CGA2022-J071</v>
      </c>
      <c r="F99" t="str">
        <f>VLOOKUP('E-impôts'!A99,Feuil2!$A$1:$AA$298,24,0)</f>
        <v>BINGERVILLE PARIS VILLAGE</v>
      </c>
      <c r="G99" t="str">
        <f>VLOOKUP('E-impôts'!A99,Feuil2!$A$1:$AA$298,11,0)</f>
        <v>TEE</v>
      </c>
      <c r="H99" t="str">
        <f>VLOOKUP('E-impôts'!A99,Feuil2!$A$1:$AA$298,10,0)</f>
        <v>SARL</v>
      </c>
      <c r="I99" t="str">
        <f>VLOOKUP('E-impôts'!A99,Feuil2!$A$1:$AA$298,5,0)</f>
        <v>NULL</v>
      </c>
      <c r="J99">
        <f>VLOOKUP('E-impôts'!A99,Feuil2!$A$1:$AA$298,19,0)</f>
        <v>777328417</v>
      </c>
      <c r="K99" t="str">
        <f>VLOOKUP('E-impôts'!A99,Feuil2!$A$1:$AA$298,9,0)</f>
        <v>NULL</v>
      </c>
      <c r="L99" t="str">
        <f>VLOOKUP('E-impôts'!A99,Feuil2!$A$1:$AA$298,15,0)</f>
        <v>Bingerville</v>
      </c>
      <c r="M99" t="str">
        <f>VLOOKUP('E-impôts'!A99,Feuil2!$A$1:$AA$298,13,0)</f>
        <v>NULL</v>
      </c>
      <c r="N99" t="str">
        <f>VLOOKUP('E-impôts'!A99,Feuil2!$A$1:$AA$298,14,0)</f>
        <v>NULL</v>
      </c>
      <c r="O99" t="str">
        <f>VLOOKUP('E-impôts'!A99,Feuil2!$A$1:$AA$298,16,0)</f>
        <v>NULL</v>
      </c>
      <c r="P99" t="str">
        <f>VLOOKUP(A99,Feuil2!$A$1:$AA$298,17,0)</f>
        <v>NULL</v>
      </c>
    </row>
    <row r="100" spans="1:16">
      <c r="A100" t="s">
        <v>193</v>
      </c>
      <c r="B100" t="s">
        <v>194</v>
      </c>
      <c r="D100" s="1">
        <v>43844</v>
      </c>
      <c r="I100" t="e">
        <f>VLOOKUP('E-impôts'!A100,Feuil2!$A$1:$AA$298,5,0)</f>
        <v>#N/A</v>
      </c>
      <c r="L100" t="e">
        <f>VLOOKUP('E-impôts'!A100,Feuil2!$A$1:$AA$298,15,0)</f>
        <v>#N/A</v>
      </c>
    </row>
    <row r="101" spans="1:16">
      <c r="A101" t="s">
        <v>195</v>
      </c>
      <c r="B101" t="s">
        <v>196</v>
      </c>
      <c r="C101" t="s">
        <v>2088</v>
      </c>
      <c r="D101" s="1">
        <v>45308</v>
      </c>
      <c r="E101" t="s">
        <v>1383</v>
      </c>
      <c r="F101" t="s">
        <v>1378</v>
      </c>
      <c r="G101" t="s">
        <v>712</v>
      </c>
      <c r="H101" t="s">
        <v>704</v>
      </c>
      <c r="I101" t="str">
        <f>VLOOKUP('E-impôts'!A101,Feuil2!$A$1:$AA$298,5,0)</f>
        <v>TALEB ABEIDI MOHAMED YESLEM</v>
      </c>
      <c r="J101">
        <v>556628671</v>
      </c>
      <c r="K101" t="s">
        <v>1383</v>
      </c>
      <c r="L101" t="str">
        <f>VLOOKUP('E-impôts'!A101,Feuil2!$A$1:$AA$298,15,0)</f>
        <v>II Plateaux I</v>
      </c>
      <c r="M101" t="s">
        <v>1385</v>
      </c>
      <c r="N101">
        <v>565</v>
      </c>
      <c r="O101" t="s">
        <v>1386</v>
      </c>
      <c r="P101">
        <v>1000000</v>
      </c>
    </row>
    <row r="102" spans="1:16">
      <c r="A102" t="s">
        <v>197</v>
      </c>
      <c r="B102" t="s">
        <v>198</v>
      </c>
      <c r="C102" t="s">
        <v>2084</v>
      </c>
      <c r="D102" s="1">
        <v>45316</v>
      </c>
      <c r="E102" t="s">
        <v>1524</v>
      </c>
      <c r="F102" t="s">
        <v>1521</v>
      </c>
      <c r="G102" t="s">
        <v>677</v>
      </c>
      <c r="H102" t="s">
        <v>704</v>
      </c>
      <c r="I102" t="str">
        <f>VLOOKUP('E-impôts'!A102,Feuil2!$A$1:$AA$298,5,0)</f>
        <v>HOLLAND N'DA SEBASTIEN</v>
      </c>
      <c r="J102">
        <v>758963212</v>
      </c>
      <c r="K102" t="s">
        <v>1524</v>
      </c>
      <c r="L102" t="str">
        <f>VLOOKUP('E-impôts'!A102,Feuil2!$A$1:$AA$298,15,0)</f>
        <v>II Pateaux I</v>
      </c>
      <c r="M102" t="s">
        <v>681</v>
      </c>
      <c r="N102" t="s">
        <v>681</v>
      </c>
      <c r="O102" t="s">
        <v>681</v>
      </c>
      <c r="P102">
        <v>1000000</v>
      </c>
    </row>
    <row r="103" spans="1:16">
      <c r="A103" t="s">
        <v>199</v>
      </c>
      <c r="B103" t="s">
        <v>200</v>
      </c>
      <c r="C103" t="s">
        <v>2080</v>
      </c>
      <c r="D103" s="1">
        <v>44642</v>
      </c>
      <c r="E103" t="s">
        <v>851</v>
      </c>
      <c r="F103" t="s">
        <v>849</v>
      </c>
      <c r="G103" t="s">
        <v>677</v>
      </c>
      <c r="H103" t="s">
        <v>704</v>
      </c>
      <c r="I103" t="s">
        <v>2401</v>
      </c>
      <c r="J103">
        <v>707102042</v>
      </c>
      <c r="K103" t="s">
        <v>851</v>
      </c>
      <c r="L103" t="str">
        <f>VLOOKUP('E-impôts'!A103,Feuil2!$A$1:$AA$298,15,0)</f>
        <v>Riviera II</v>
      </c>
      <c r="M103" t="s">
        <v>672</v>
      </c>
      <c r="N103" t="s">
        <v>672</v>
      </c>
      <c r="O103" t="s">
        <v>2368</v>
      </c>
      <c r="P103" t="s">
        <v>672</v>
      </c>
    </row>
    <row r="104" spans="1:16">
      <c r="A104" t="s">
        <v>201</v>
      </c>
      <c r="B104" t="s">
        <v>202</v>
      </c>
      <c r="C104" t="s">
        <v>2080</v>
      </c>
      <c r="D104" s="1">
        <v>45320</v>
      </c>
      <c r="E104" t="s">
        <v>2060</v>
      </c>
      <c r="F104" t="s">
        <v>2056</v>
      </c>
      <c r="G104" t="s">
        <v>677</v>
      </c>
      <c r="H104" t="s">
        <v>676</v>
      </c>
      <c r="I104" t="str">
        <f>VLOOKUP('E-impôts'!A104,Feuil2!$A$1:$AA$298,5,0)</f>
        <v>MESSOU AGBANI DANIEL</v>
      </c>
      <c r="J104">
        <v>103330124</v>
      </c>
      <c r="K104" t="s">
        <v>2060</v>
      </c>
      <c r="L104" t="s">
        <v>687</v>
      </c>
      <c r="M104" t="s">
        <v>2062</v>
      </c>
      <c r="N104">
        <v>182</v>
      </c>
      <c r="O104" t="s">
        <v>2063</v>
      </c>
      <c r="P104" t="s">
        <v>681</v>
      </c>
    </row>
    <row r="105" spans="1:16">
      <c r="A105" t="s">
        <v>203</v>
      </c>
      <c r="B105" t="s">
        <v>204</v>
      </c>
      <c r="C105" t="s">
        <v>2084</v>
      </c>
      <c r="D105" s="1">
        <v>44224</v>
      </c>
      <c r="E105" t="s">
        <v>1210</v>
      </c>
      <c r="F105" t="s">
        <v>855</v>
      </c>
      <c r="G105" t="s">
        <v>677</v>
      </c>
      <c r="H105" t="s">
        <v>704</v>
      </c>
      <c r="I105" t="str">
        <f>VLOOKUP('E-impôts'!A105,Feuil2!$A$1:$AA$298,5,0)</f>
        <v>NULL</v>
      </c>
      <c r="J105">
        <v>708115018</v>
      </c>
      <c r="K105" t="s">
        <v>1210</v>
      </c>
      <c r="L105" t="s">
        <v>687</v>
      </c>
      <c r="M105" t="s">
        <v>672</v>
      </c>
      <c r="N105" t="s">
        <v>672</v>
      </c>
      <c r="O105" t="s">
        <v>672</v>
      </c>
      <c r="P105" t="s">
        <v>672</v>
      </c>
    </row>
    <row r="106" spans="1:16">
      <c r="A106" t="s">
        <v>205</v>
      </c>
      <c r="B106" t="s">
        <v>206</v>
      </c>
      <c r="C106" t="s">
        <v>2080</v>
      </c>
      <c r="D106" s="1">
        <v>45313</v>
      </c>
      <c r="E106" t="s">
        <v>1423</v>
      </c>
      <c r="F106" t="s">
        <v>1421</v>
      </c>
      <c r="G106" t="s">
        <v>677</v>
      </c>
      <c r="H106" t="s">
        <v>704</v>
      </c>
      <c r="I106" t="str">
        <f>VLOOKUP('E-impôts'!A106,Feuil2!$A$1:$AA$298,5,0)</f>
        <v xml:space="preserve">ADJOBI DIANA ANNE ELIANE </v>
      </c>
      <c r="J106">
        <v>749573820</v>
      </c>
      <c r="K106" t="s">
        <v>1423</v>
      </c>
      <c r="L106" t="s">
        <v>687</v>
      </c>
      <c r="M106" t="s">
        <v>869</v>
      </c>
      <c r="N106">
        <v>1175</v>
      </c>
      <c r="O106" t="s">
        <v>1424</v>
      </c>
      <c r="P106">
        <v>1000000</v>
      </c>
    </row>
    <row r="107" spans="1:16">
      <c r="A107" t="s">
        <v>207</v>
      </c>
      <c r="B107" t="s">
        <v>208</v>
      </c>
      <c r="C107" t="s">
        <v>2086</v>
      </c>
      <c r="D107" s="1">
        <v>44585</v>
      </c>
      <c r="E107" s="1"/>
      <c r="F107" t="s">
        <v>1305</v>
      </c>
      <c r="G107" t="s">
        <v>677</v>
      </c>
      <c r="H107" t="s">
        <v>676</v>
      </c>
      <c r="I107" t="str">
        <f>VLOOKUP('E-impôts'!A107,Feuil2!$A$1:$AA$298,5,0)</f>
        <v>NULL</v>
      </c>
      <c r="J107">
        <v>708095645</v>
      </c>
      <c r="K107" t="s">
        <v>1307</v>
      </c>
      <c r="L107" t="s">
        <v>942</v>
      </c>
      <c r="M107" t="s">
        <v>672</v>
      </c>
      <c r="N107" t="s">
        <v>672</v>
      </c>
      <c r="O107" t="s">
        <v>672</v>
      </c>
      <c r="P107" t="s">
        <v>672</v>
      </c>
    </row>
    <row r="108" spans="1:16">
      <c r="A108" t="s">
        <v>209</v>
      </c>
      <c r="B108" t="s">
        <v>210</v>
      </c>
      <c r="D108" s="1">
        <v>43480</v>
      </c>
      <c r="I108" t="e">
        <f>VLOOKUP('E-impôts'!A108,Feuil2!$A$1:$AA$298,5,0)</f>
        <v>#N/A</v>
      </c>
    </row>
    <row r="109" spans="1:16">
      <c r="A109" t="s">
        <v>211</v>
      </c>
      <c r="B109" t="s">
        <v>212</v>
      </c>
      <c r="C109" t="s">
        <v>2080</v>
      </c>
      <c r="D109" s="1">
        <v>45545</v>
      </c>
      <c r="E109" t="s">
        <v>2069</v>
      </c>
      <c r="F109" t="s">
        <v>2064</v>
      </c>
      <c r="G109" t="s">
        <v>677</v>
      </c>
      <c r="H109" t="s">
        <v>676</v>
      </c>
      <c r="I109" t="str">
        <f>VLOOKUP('E-impôts'!A109,Feuil2!$A$1:$AA$298,5,0)</f>
        <v>Mandioba N'GondiÃ© Solange</v>
      </c>
      <c r="J109">
        <v>707022259</v>
      </c>
      <c r="K109" t="s">
        <v>2069</v>
      </c>
      <c r="L109" t="s">
        <v>742</v>
      </c>
      <c r="M109" t="s">
        <v>2071</v>
      </c>
      <c r="N109">
        <v>457</v>
      </c>
      <c r="O109" t="s">
        <v>2072</v>
      </c>
      <c r="P109" t="s">
        <v>672</v>
      </c>
    </row>
    <row r="110" spans="1:16">
      <c r="A110" t="s">
        <v>213</v>
      </c>
      <c r="B110" t="s">
        <v>214</v>
      </c>
      <c r="C110" t="s">
        <v>2084</v>
      </c>
      <c r="D110" s="1">
        <v>45316</v>
      </c>
      <c r="E110" t="s">
        <v>1543</v>
      </c>
      <c r="F110" t="s">
        <v>1540</v>
      </c>
      <c r="G110" t="s">
        <v>677</v>
      </c>
      <c r="H110" t="s">
        <v>704</v>
      </c>
      <c r="I110" t="str">
        <f>VLOOKUP('E-impôts'!A110,Feuil2!$A$1:$AA$298,5,0)</f>
        <v>WANG MEN</v>
      </c>
      <c r="J110">
        <v>596125351</v>
      </c>
      <c r="K110" t="s">
        <v>1543</v>
      </c>
      <c r="L110" t="s">
        <v>834</v>
      </c>
      <c r="M110" t="s">
        <v>681</v>
      </c>
      <c r="N110" t="s">
        <v>681</v>
      </c>
      <c r="O110" t="s">
        <v>681</v>
      </c>
      <c r="P110">
        <v>1000000</v>
      </c>
    </row>
    <row r="111" spans="1:16">
      <c r="A111" t="s">
        <v>215</v>
      </c>
      <c r="B111" t="s">
        <v>216</v>
      </c>
      <c r="D111" s="1">
        <v>44589</v>
      </c>
      <c r="I111" t="e">
        <f>VLOOKUP('E-impôts'!A111,Feuil2!$A$1:$AA$298,5,0)</f>
        <v>#N/A</v>
      </c>
    </row>
    <row r="112" spans="1:16">
      <c r="A112" t="s">
        <v>217</v>
      </c>
      <c r="B112" t="s">
        <v>218</v>
      </c>
      <c r="C112" t="s">
        <v>2080</v>
      </c>
      <c r="D112" s="1">
        <v>43479</v>
      </c>
      <c r="E112" t="s">
        <v>922</v>
      </c>
      <c r="F112" t="s">
        <v>918</v>
      </c>
      <c r="G112" t="s">
        <v>677</v>
      </c>
      <c r="H112" t="s">
        <v>704</v>
      </c>
      <c r="I112" t="str">
        <f>VLOOKUP('E-impôts'!A112,Feuil2!$A$1:$AA$298,5,0)</f>
        <v>DOUMBIA MASSANKE</v>
      </c>
      <c r="J112">
        <v>708762020</v>
      </c>
      <c r="K112" t="s">
        <v>922</v>
      </c>
      <c r="L112" t="s">
        <v>742</v>
      </c>
      <c r="M112" t="s">
        <v>924</v>
      </c>
      <c r="N112">
        <v>300</v>
      </c>
      <c r="O112" t="s">
        <v>2378</v>
      </c>
      <c r="P112">
        <v>1000000</v>
      </c>
    </row>
    <row r="113" spans="1:16">
      <c r="A113" t="s">
        <v>219</v>
      </c>
      <c r="B113" t="s">
        <v>220</v>
      </c>
      <c r="C113" t="s">
        <v>2084</v>
      </c>
      <c r="D113" s="1">
        <v>44224</v>
      </c>
      <c r="E113" t="s">
        <v>1207</v>
      </c>
      <c r="F113" t="s">
        <v>846</v>
      </c>
      <c r="G113" t="s">
        <v>677</v>
      </c>
      <c r="H113" t="s">
        <v>704</v>
      </c>
      <c r="I113" t="str">
        <f>VLOOKUP('E-impôts'!A113,Feuil2!$A$1:$AA$298,5,0)</f>
        <v>NULL</v>
      </c>
      <c r="J113">
        <v>748879515</v>
      </c>
      <c r="K113" t="s">
        <v>1207</v>
      </c>
      <c r="L113" t="s">
        <v>742</v>
      </c>
      <c r="M113" t="s">
        <v>672</v>
      </c>
      <c r="N113" t="s">
        <v>672</v>
      </c>
      <c r="O113" t="s">
        <v>672</v>
      </c>
      <c r="P113" t="s">
        <v>672</v>
      </c>
    </row>
    <row r="114" spans="1:16">
      <c r="A114" t="s">
        <v>221</v>
      </c>
      <c r="B114" t="s">
        <v>222</v>
      </c>
      <c r="C114" t="s">
        <v>2081</v>
      </c>
      <c r="D114" s="1">
        <v>44957</v>
      </c>
      <c r="E114" t="s">
        <v>993</v>
      </c>
      <c r="F114" t="s">
        <v>991</v>
      </c>
      <c r="G114" t="s">
        <v>677</v>
      </c>
      <c r="H114" t="s">
        <v>704</v>
      </c>
      <c r="I114" t="str">
        <f>VLOOKUP('E-impôts'!A114,Feuil2!$A$1:$AA$298,5,0)</f>
        <v>NULL</v>
      </c>
      <c r="J114">
        <v>757404308</v>
      </c>
      <c r="K114" t="s">
        <v>993</v>
      </c>
      <c r="L114" t="s">
        <v>798</v>
      </c>
      <c r="M114" t="s">
        <v>672</v>
      </c>
      <c r="N114" t="s">
        <v>672</v>
      </c>
      <c r="O114" t="s">
        <v>672</v>
      </c>
      <c r="P114" t="s">
        <v>672</v>
      </c>
    </row>
    <row r="115" spans="1:16">
      <c r="A115" t="s">
        <v>223</v>
      </c>
      <c r="B115" t="s">
        <v>224</v>
      </c>
      <c r="C115" t="s">
        <v>2081</v>
      </c>
      <c r="D115" s="1">
        <v>44589</v>
      </c>
      <c r="E115" t="s">
        <v>1002</v>
      </c>
      <c r="F115" t="s">
        <v>1000</v>
      </c>
      <c r="G115" t="s">
        <v>677</v>
      </c>
      <c r="H115" t="s">
        <v>704</v>
      </c>
      <c r="I115" t="str">
        <f>VLOOKUP('E-impôts'!A115,Feuil2!$A$1:$AA$298,5,0)</f>
        <v>NULL</v>
      </c>
      <c r="J115">
        <v>759484148</v>
      </c>
      <c r="K115" t="s">
        <v>1002</v>
      </c>
      <c r="L115" t="s">
        <v>942</v>
      </c>
      <c r="M115" t="s">
        <v>672</v>
      </c>
      <c r="N115" t="s">
        <v>672</v>
      </c>
      <c r="O115" t="s">
        <v>672</v>
      </c>
      <c r="P115" t="s">
        <v>672</v>
      </c>
    </row>
    <row r="116" spans="1:16">
      <c r="A116" t="s">
        <v>225</v>
      </c>
      <c r="B116" t="s">
        <v>226</v>
      </c>
      <c r="C116" t="s">
        <v>2088</v>
      </c>
      <c r="D116" s="1">
        <v>45322</v>
      </c>
      <c r="E116" t="s">
        <v>2026</v>
      </c>
      <c r="F116" t="s">
        <v>788</v>
      </c>
      <c r="G116" t="s">
        <v>677</v>
      </c>
      <c r="H116" t="s">
        <v>704</v>
      </c>
      <c r="I116" t="str">
        <f>VLOOKUP('E-impôts'!A116,Feuil2!$A$1:$AA$298,5,0)</f>
        <v>LOH DAMAS</v>
      </c>
      <c r="J116">
        <v>767501151</v>
      </c>
      <c r="K116" t="s">
        <v>2026</v>
      </c>
      <c r="L116" t="s">
        <v>1222</v>
      </c>
      <c r="M116" t="s">
        <v>1385</v>
      </c>
      <c r="N116">
        <v>473</v>
      </c>
      <c r="O116" t="s">
        <v>904</v>
      </c>
      <c r="P116">
        <v>1000000</v>
      </c>
    </row>
    <row r="117" spans="1:16">
      <c r="A117" t="s">
        <v>227</v>
      </c>
      <c r="B117" t="s">
        <v>228</v>
      </c>
      <c r="D117" s="1">
        <v>45321</v>
      </c>
      <c r="I117" t="str">
        <f>VLOOKUP('E-impôts'!A117,Feuil2!$A$1:$AA$298,5,0)</f>
        <v>LOGBY CASIMIR</v>
      </c>
    </row>
    <row r="118" spans="1:16">
      <c r="A118" t="s">
        <v>229</v>
      </c>
      <c r="B118" t="s">
        <v>230</v>
      </c>
      <c r="C118" t="s">
        <v>2084</v>
      </c>
      <c r="D118" s="1">
        <v>45318</v>
      </c>
      <c r="E118" t="s">
        <v>1630</v>
      </c>
      <c r="F118" t="s">
        <v>1625</v>
      </c>
      <c r="G118" t="s">
        <v>677</v>
      </c>
      <c r="H118" t="s">
        <v>704</v>
      </c>
      <c r="I118" t="str">
        <f>VLOOKUP('E-impôts'!A118,Feuil2!$A$1:$AA$298,5,0)</f>
        <v>WODJE ELISABETH</v>
      </c>
      <c r="J118">
        <v>709515587</v>
      </c>
      <c r="K118" t="s">
        <v>1630</v>
      </c>
      <c r="L118" t="s">
        <v>742</v>
      </c>
      <c r="M118" t="s">
        <v>672</v>
      </c>
      <c r="O118" t="s">
        <v>672</v>
      </c>
      <c r="P118">
        <v>5000001</v>
      </c>
    </row>
    <row r="119" spans="1:16">
      <c r="A119" t="s">
        <v>231</v>
      </c>
      <c r="B119" t="s">
        <v>232</v>
      </c>
      <c r="C119" t="s">
        <v>2087</v>
      </c>
      <c r="D119" s="1">
        <v>44224</v>
      </c>
      <c r="E119" t="s">
        <v>1326</v>
      </c>
      <c r="F119" t="s">
        <v>1324</v>
      </c>
      <c r="G119" t="s">
        <v>677</v>
      </c>
      <c r="H119" t="s">
        <v>704</v>
      </c>
      <c r="I119">
        <f>VLOOKUP('E-impôts'!A119,Feuil2!$A$1:$AA$298,5,0)</f>
        <v>0</v>
      </c>
      <c r="J119">
        <v>707708230</v>
      </c>
      <c r="K119" t="s">
        <v>1326</v>
      </c>
      <c r="L119" t="s">
        <v>705</v>
      </c>
      <c r="N119" t="s">
        <v>672</v>
      </c>
      <c r="P119" t="s">
        <v>672</v>
      </c>
    </row>
    <row r="120" spans="1:16">
      <c r="A120" t="s">
        <v>233</v>
      </c>
      <c r="B120" t="s">
        <v>234</v>
      </c>
      <c r="C120" t="s">
        <v>2080</v>
      </c>
      <c r="D120" s="1">
        <v>44952</v>
      </c>
      <c r="E120" t="s">
        <v>867</v>
      </c>
      <c r="F120" t="s">
        <v>862</v>
      </c>
      <c r="G120" t="s">
        <v>677</v>
      </c>
      <c r="H120" t="s">
        <v>704</v>
      </c>
      <c r="I120" t="str">
        <f>VLOOKUP('E-impôts'!A120,Feuil2!$A$1:$AA$298,5,0)</f>
        <v xml:space="preserve">Mme SANFO </v>
      </c>
      <c r="J120">
        <v>747994794</v>
      </c>
      <c r="K120" t="s">
        <v>867</v>
      </c>
      <c r="L120" t="s">
        <v>687</v>
      </c>
      <c r="M120" t="s">
        <v>869</v>
      </c>
      <c r="N120">
        <v>71</v>
      </c>
      <c r="O120" t="s">
        <v>2377</v>
      </c>
      <c r="P120">
        <v>1000000</v>
      </c>
    </row>
    <row r="121" spans="1:16">
      <c r="A121" t="s">
        <v>235</v>
      </c>
      <c r="B121" t="s">
        <v>236</v>
      </c>
      <c r="C121" t="s">
        <v>2084</v>
      </c>
      <c r="D121" s="1">
        <v>45316</v>
      </c>
      <c r="E121" t="s">
        <v>1565</v>
      </c>
      <c r="F121" t="s">
        <v>1562</v>
      </c>
      <c r="G121" t="s">
        <v>677</v>
      </c>
      <c r="H121" t="s">
        <v>704</v>
      </c>
      <c r="I121" t="str">
        <f>VLOOKUP('E-impôts'!A121,Feuil2!$A$1:$AA$298,5,0)</f>
        <v>AKOUASSA EPSE KONAN ORNELLA EVE</v>
      </c>
      <c r="J121">
        <v>707428750</v>
      </c>
      <c r="K121" t="s">
        <v>1565</v>
      </c>
      <c r="L121" t="s">
        <v>692</v>
      </c>
      <c r="M121" t="s">
        <v>672</v>
      </c>
      <c r="O121" t="s">
        <v>672</v>
      </c>
      <c r="P121">
        <v>1000000</v>
      </c>
    </row>
    <row r="122" spans="1:16">
      <c r="A122" t="s">
        <v>237</v>
      </c>
      <c r="B122" t="s">
        <v>238</v>
      </c>
      <c r="D122" s="1">
        <v>44592</v>
      </c>
      <c r="I122" t="e">
        <f>VLOOKUP('E-impôts'!A122,Feuil2!$A$1:$AA$298,5,0)</f>
        <v>#N/A</v>
      </c>
    </row>
    <row r="123" spans="1:16">
      <c r="A123" t="s">
        <v>239</v>
      </c>
      <c r="B123" t="s">
        <v>240</v>
      </c>
      <c r="C123" t="s">
        <v>2084</v>
      </c>
      <c r="D123" s="1">
        <v>43859</v>
      </c>
      <c r="E123" t="s">
        <v>1204</v>
      </c>
      <c r="F123" t="s">
        <v>846</v>
      </c>
      <c r="G123" t="s">
        <v>677</v>
      </c>
      <c r="H123" t="s">
        <v>676</v>
      </c>
      <c r="I123" t="str">
        <f>VLOOKUP('E-impôts'!A123,Feuil2!$A$1:$AA$298,5,0)</f>
        <v>NULL</v>
      </c>
      <c r="K123" t="s">
        <v>1204</v>
      </c>
      <c r="L123" t="s">
        <v>705</v>
      </c>
      <c r="M123" t="s">
        <v>672</v>
      </c>
      <c r="N123" t="s">
        <v>672</v>
      </c>
      <c r="O123" t="s">
        <v>672</v>
      </c>
      <c r="P123" t="s">
        <v>672</v>
      </c>
    </row>
    <row r="124" spans="1:16">
      <c r="A124" t="s">
        <v>241</v>
      </c>
      <c r="B124" t="s">
        <v>242</v>
      </c>
      <c r="C124" t="s">
        <v>2084</v>
      </c>
      <c r="D124" s="1">
        <v>44216</v>
      </c>
      <c r="E124" t="s">
        <v>1202</v>
      </c>
      <c r="F124" t="s">
        <v>1200</v>
      </c>
      <c r="G124" t="s">
        <v>677</v>
      </c>
      <c r="H124" t="s">
        <v>676</v>
      </c>
      <c r="I124" t="str">
        <f>VLOOKUP('E-impôts'!A124,Feuil2!$A$1:$AA$298,5,0)</f>
        <v>NULL</v>
      </c>
      <c r="J124">
        <v>707760027</v>
      </c>
      <c r="K124" t="s">
        <v>1202</v>
      </c>
      <c r="L124" t="s">
        <v>705</v>
      </c>
      <c r="M124" t="s">
        <v>672</v>
      </c>
      <c r="N124" t="s">
        <v>672</v>
      </c>
      <c r="O124" t="s">
        <v>672</v>
      </c>
      <c r="P124" t="s">
        <v>672</v>
      </c>
    </row>
    <row r="125" spans="1:16">
      <c r="A125" t="s">
        <v>243</v>
      </c>
      <c r="B125" t="s">
        <v>244</v>
      </c>
      <c r="D125" s="1">
        <v>43854</v>
      </c>
      <c r="I125" t="e">
        <f>VLOOKUP('E-impôts'!A125,Feuil2!$A$1:$AA$298,5,0)</f>
        <v>#N/A</v>
      </c>
    </row>
    <row r="126" spans="1:16">
      <c r="A126" t="s">
        <v>245</v>
      </c>
      <c r="B126" t="s">
        <v>246</v>
      </c>
      <c r="C126" t="s">
        <v>2084</v>
      </c>
      <c r="D126" s="1">
        <v>44214</v>
      </c>
      <c r="E126" t="s">
        <v>1198</v>
      </c>
      <c r="F126" t="s">
        <v>1196</v>
      </c>
      <c r="G126" t="s">
        <v>677</v>
      </c>
      <c r="H126" t="s">
        <v>676</v>
      </c>
      <c r="I126" t="str">
        <f>VLOOKUP('E-impôts'!A126,Feuil2!$A$1:$AA$298,5,0)</f>
        <v>NULL</v>
      </c>
      <c r="J126">
        <v>708633706</v>
      </c>
      <c r="K126" t="s">
        <v>1198</v>
      </c>
      <c r="L126" t="s">
        <v>705</v>
      </c>
      <c r="M126" t="s">
        <v>672</v>
      </c>
      <c r="N126" t="s">
        <v>672</v>
      </c>
      <c r="O126" t="s">
        <v>672</v>
      </c>
      <c r="P126" t="s">
        <v>672</v>
      </c>
    </row>
    <row r="127" spans="1:16">
      <c r="A127" t="s">
        <v>247</v>
      </c>
      <c r="B127" t="s">
        <v>248</v>
      </c>
      <c r="C127" t="s">
        <v>2080</v>
      </c>
      <c r="D127" s="1">
        <v>43479</v>
      </c>
      <c r="E127" t="s">
        <v>726</v>
      </c>
      <c r="F127" t="s">
        <v>672</v>
      </c>
      <c r="G127" t="s">
        <v>677</v>
      </c>
      <c r="H127" t="s">
        <v>676</v>
      </c>
      <c r="I127" t="str">
        <f>VLOOKUP('E-impôts'!A127,Feuil2!$A$1:$AA$298,5,0)</f>
        <v>KOUAME KONAN FIRMIN</v>
      </c>
      <c r="J127">
        <v>707063365</v>
      </c>
      <c r="K127" t="s">
        <v>726</v>
      </c>
      <c r="L127" t="s">
        <v>672</v>
      </c>
      <c r="M127" t="s">
        <v>672</v>
      </c>
      <c r="O127" t="s">
        <v>2400</v>
      </c>
      <c r="P127" t="s">
        <v>672</v>
      </c>
    </row>
    <row r="128" spans="1:16">
      <c r="A128" t="s">
        <v>249</v>
      </c>
      <c r="B128" t="s">
        <v>250</v>
      </c>
      <c r="C128" t="s">
        <v>2080</v>
      </c>
      <c r="D128" s="1">
        <v>43522</v>
      </c>
      <c r="E128" t="s">
        <v>734</v>
      </c>
      <c r="F128" t="s">
        <v>706</v>
      </c>
      <c r="G128" t="s">
        <v>677</v>
      </c>
      <c r="H128" t="s">
        <v>676</v>
      </c>
      <c r="I128" t="s">
        <v>250</v>
      </c>
      <c r="J128">
        <v>707063365</v>
      </c>
      <c r="K128" t="s">
        <v>734</v>
      </c>
      <c r="L128" t="s">
        <v>692</v>
      </c>
      <c r="M128" t="s">
        <v>672</v>
      </c>
      <c r="N128" t="s">
        <v>672</v>
      </c>
      <c r="O128" t="s">
        <v>2412</v>
      </c>
      <c r="P128" t="s">
        <v>672</v>
      </c>
    </row>
    <row r="129" spans="1:16">
      <c r="A129" t="s">
        <v>251</v>
      </c>
      <c r="B129" t="s">
        <v>252</v>
      </c>
      <c r="D129" s="1">
        <v>44221</v>
      </c>
      <c r="I129" t="e">
        <f>VLOOKUP('E-impôts'!A129,Feuil2!$A$1:$AA$298,5,0)</f>
        <v>#N/A</v>
      </c>
    </row>
    <row r="130" spans="1:16">
      <c r="A130" t="s">
        <v>253</v>
      </c>
      <c r="B130" t="s">
        <v>254</v>
      </c>
      <c r="C130" t="s">
        <v>2084</v>
      </c>
      <c r="D130" s="1">
        <v>43844</v>
      </c>
      <c r="E130" t="s">
        <v>1194</v>
      </c>
      <c r="F130" t="s">
        <v>1192</v>
      </c>
      <c r="G130" t="s">
        <v>677</v>
      </c>
      <c r="H130" t="s">
        <v>676</v>
      </c>
      <c r="I130" t="str">
        <f>VLOOKUP('E-impôts'!A130,Feuil2!$A$1:$AA$298,5,0)</f>
        <v>NULL</v>
      </c>
      <c r="J130">
        <v>2122500438</v>
      </c>
      <c r="K130" t="s">
        <v>1194</v>
      </c>
      <c r="L130" t="s">
        <v>687</v>
      </c>
      <c r="M130" t="s">
        <v>672</v>
      </c>
      <c r="N130" t="s">
        <v>672</v>
      </c>
      <c r="O130" t="s">
        <v>672</v>
      </c>
      <c r="P130" t="s">
        <v>672</v>
      </c>
    </row>
    <row r="131" spans="1:16">
      <c r="A131" t="s">
        <v>255</v>
      </c>
      <c r="B131" t="s">
        <v>256</v>
      </c>
      <c r="C131" t="s">
        <v>2084</v>
      </c>
      <c r="D131" s="1">
        <v>43871</v>
      </c>
      <c r="E131" t="s">
        <v>1191</v>
      </c>
      <c r="F131" t="s">
        <v>1189</v>
      </c>
      <c r="G131" t="s">
        <v>677</v>
      </c>
      <c r="H131" t="s">
        <v>676</v>
      </c>
      <c r="I131" t="str">
        <f>VLOOKUP('E-impôts'!A131,Feuil2!$A$1:$AA$298,5,0)</f>
        <v>NULL</v>
      </c>
      <c r="J131">
        <v>708452406</v>
      </c>
      <c r="K131" t="s">
        <v>1191</v>
      </c>
      <c r="L131" t="s">
        <v>705</v>
      </c>
      <c r="M131" t="s">
        <v>672</v>
      </c>
      <c r="N131" t="s">
        <v>672</v>
      </c>
      <c r="O131" t="s">
        <v>672</v>
      </c>
      <c r="P131" t="s">
        <v>672</v>
      </c>
    </row>
    <row r="132" spans="1:16">
      <c r="A132" t="s">
        <v>257</v>
      </c>
      <c r="B132" t="s">
        <v>258</v>
      </c>
      <c r="D132" s="1">
        <v>43854</v>
      </c>
      <c r="I132" t="e">
        <f>VLOOKUP('E-impôts'!A132,Feuil2!$A$1:$AA$298,5,0)</f>
        <v>#N/A</v>
      </c>
    </row>
    <row r="133" spans="1:16">
      <c r="A133" t="s">
        <v>259</v>
      </c>
      <c r="B133" t="s">
        <v>260</v>
      </c>
      <c r="C133" t="s">
        <v>2080</v>
      </c>
      <c r="D133" s="1">
        <v>44939</v>
      </c>
      <c r="E133" t="s">
        <v>861</v>
      </c>
      <c r="F133" t="s">
        <v>859</v>
      </c>
      <c r="G133" t="s">
        <v>677</v>
      </c>
      <c r="H133" t="s">
        <v>704</v>
      </c>
      <c r="I133" t="s">
        <v>2375</v>
      </c>
      <c r="J133">
        <v>707262649</v>
      </c>
      <c r="K133" t="s">
        <v>861</v>
      </c>
      <c r="L133" t="s">
        <v>678</v>
      </c>
      <c r="M133" t="s">
        <v>672</v>
      </c>
      <c r="N133" t="s">
        <v>672</v>
      </c>
      <c r="O133" t="s">
        <v>2376</v>
      </c>
      <c r="P133" t="s">
        <v>672</v>
      </c>
    </row>
    <row r="134" spans="1:16">
      <c r="A134" t="s">
        <v>261</v>
      </c>
      <c r="B134" t="s">
        <v>262</v>
      </c>
      <c r="D134" s="1">
        <v>43872</v>
      </c>
      <c r="I134" t="e">
        <f>VLOOKUP('E-impôts'!A134,Feuil2!$A$1:$AA$298,5,0)</f>
        <v>#N/A</v>
      </c>
    </row>
    <row r="135" spans="1:16">
      <c r="A135" t="s">
        <v>263</v>
      </c>
      <c r="B135" t="s">
        <v>264</v>
      </c>
      <c r="D135" s="1">
        <v>45320</v>
      </c>
      <c r="I135" t="str">
        <f>VLOOKUP('E-impôts'!A135,Feuil2!$A$1:$AA$298,5,0)</f>
        <v>KONE KARIDIATA</v>
      </c>
    </row>
    <row r="136" spans="1:16">
      <c r="A136" t="s">
        <v>265</v>
      </c>
      <c r="B136" t="s">
        <v>266</v>
      </c>
      <c r="D136" s="1">
        <v>44957</v>
      </c>
      <c r="I136" t="e">
        <f>VLOOKUP('E-impôts'!A136,Feuil2!$A$1:$AA$298,5,0)</f>
        <v>#N/A</v>
      </c>
    </row>
    <row r="137" spans="1:16">
      <c r="A137" t="s">
        <v>267</v>
      </c>
      <c r="B137" t="s">
        <v>268</v>
      </c>
      <c r="C137" t="s">
        <v>2080</v>
      </c>
      <c r="D137" s="1">
        <v>43479</v>
      </c>
      <c r="E137" t="s">
        <v>695</v>
      </c>
      <c r="F137" t="s">
        <v>693</v>
      </c>
      <c r="G137" t="s">
        <v>677</v>
      </c>
      <c r="H137" t="s">
        <v>676</v>
      </c>
      <c r="I137" t="s">
        <v>268</v>
      </c>
      <c r="J137">
        <v>707941178</v>
      </c>
      <c r="K137" t="s">
        <v>695</v>
      </c>
      <c r="L137" t="s">
        <v>692</v>
      </c>
      <c r="M137" t="s">
        <v>672</v>
      </c>
      <c r="N137" t="s">
        <v>672</v>
      </c>
      <c r="O137" t="s">
        <v>2368</v>
      </c>
      <c r="P137" t="s">
        <v>672</v>
      </c>
    </row>
    <row r="138" spans="1:16">
      <c r="A138" t="s">
        <v>269</v>
      </c>
      <c r="B138" t="s">
        <v>270</v>
      </c>
      <c r="C138" t="s">
        <v>2084</v>
      </c>
      <c r="D138" s="1">
        <v>45322</v>
      </c>
      <c r="E138" t="s">
        <v>1965</v>
      </c>
      <c r="F138" t="s">
        <v>1962</v>
      </c>
      <c r="G138" t="s">
        <v>677</v>
      </c>
      <c r="H138" t="s">
        <v>676</v>
      </c>
      <c r="I138" t="str">
        <f>VLOOKUP('E-impôts'!A138,Feuil2!$A$1:$AA$298,5,0)</f>
        <v>KONAN KOUADIO CHRISTIAN</v>
      </c>
      <c r="J138">
        <v>788881313</v>
      </c>
      <c r="K138" t="s">
        <v>1965</v>
      </c>
      <c r="L138" t="s">
        <v>1222</v>
      </c>
      <c r="M138" t="s">
        <v>681</v>
      </c>
      <c r="N138" t="s">
        <v>681</v>
      </c>
      <c r="O138" t="s">
        <v>681</v>
      </c>
      <c r="P138">
        <v>1000000</v>
      </c>
    </row>
    <row r="139" spans="1:16">
      <c r="A139" t="s">
        <v>271</v>
      </c>
      <c r="B139" t="s">
        <v>272</v>
      </c>
      <c r="C139" t="s">
        <v>2081</v>
      </c>
      <c r="D139" s="1">
        <v>44589</v>
      </c>
      <c r="E139" t="s">
        <v>1028</v>
      </c>
      <c r="F139" t="s">
        <v>959</v>
      </c>
      <c r="G139" t="s">
        <v>677</v>
      </c>
      <c r="H139" t="s">
        <v>676</v>
      </c>
      <c r="I139" t="str">
        <f>VLOOKUP('E-impôts'!A139,Feuil2!$A$1:$AA$298,5,0)</f>
        <v>NULL</v>
      </c>
      <c r="J139">
        <v>708247146</v>
      </c>
      <c r="K139" t="s">
        <v>1028</v>
      </c>
      <c r="L139" t="s">
        <v>942</v>
      </c>
      <c r="M139" t="s">
        <v>672</v>
      </c>
      <c r="N139" t="s">
        <v>672</v>
      </c>
      <c r="O139" t="s">
        <v>672</v>
      </c>
      <c r="P139" t="s">
        <v>672</v>
      </c>
    </row>
    <row r="140" spans="1:16">
      <c r="A140" t="s">
        <v>273</v>
      </c>
      <c r="B140" t="s">
        <v>274</v>
      </c>
      <c r="C140" t="s">
        <v>2084</v>
      </c>
      <c r="D140" s="1">
        <v>44218</v>
      </c>
      <c r="E140" t="s">
        <v>1182</v>
      </c>
      <c r="F140" t="s">
        <v>1180</v>
      </c>
      <c r="G140" t="s">
        <v>677</v>
      </c>
      <c r="H140" t="s">
        <v>676</v>
      </c>
      <c r="I140" t="str">
        <f>VLOOKUP('E-impôts'!A140,Feuil2!$A$1:$AA$298,5,0)</f>
        <v>NULL</v>
      </c>
      <c r="J140">
        <v>505738106</v>
      </c>
      <c r="K140" t="s">
        <v>1182</v>
      </c>
      <c r="L140" t="s">
        <v>750</v>
      </c>
      <c r="M140" t="s">
        <v>672</v>
      </c>
      <c r="N140" t="s">
        <v>672</v>
      </c>
      <c r="O140" t="s">
        <v>672</v>
      </c>
      <c r="P140" t="s">
        <v>672</v>
      </c>
    </row>
    <row r="141" spans="1:16">
      <c r="A141" t="s">
        <v>275</v>
      </c>
      <c r="B141" t="s">
        <v>276</v>
      </c>
      <c r="D141" s="1">
        <v>44949</v>
      </c>
      <c r="I141" t="e">
        <f>VLOOKUP('E-impôts'!A141,Feuil2!$A$1:$AA$298,5,0)</f>
        <v>#N/A</v>
      </c>
    </row>
    <row r="142" spans="1:16">
      <c r="A142" t="s">
        <v>277</v>
      </c>
      <c r="B142" t="s">
        <v>278</v>
      </c>
      <c r="C142" t="s">
        <v>2084</v>
      </c>
      <c r="D142" s="1">
        <v>45316</v>
      </c>
      <c r="E142" t="s">
        <v>1554</v>
      </c>
      <c r="F142" t="s">
        <v>872</v>
      </c>
      <c r="G142" t="s">
        <v>677</v>
      </c>
      <c r="H142" t="s">
        <v>676</v>
      </c>
      <c r="I142" t="str">
        <f>VLOOKUP('E-impôts'!A142,Feuil2!$A$1:$AA$298,5,0)</f>
        <v>KISSI TEHOUA HERVE</v>
      </c>
      <c r="J142">
        <v>788881313</v>
      </c>
      <c r="K142" t="s">
        <v>1554</v>
      </c>
      <c r="L142" t="s">
        <v>750</v>
      </c>
      <c r="M142" t="s">
        <v>672</v>
      </c>
      <c r="P142" t="s">
        <v>672</v>
      </c>
    </row>
    <row r="143" spans="1:16">
      <c r="A143" t="s">
        <v>279</v>
      </c>
      <c r="B143" t="s">
        <v>280</v>
      </c>
      <c r="C143" t="s">
        <v>2081</v>
      </c>
      <c r="D143" s="1">
        <v>45316</v>
      </c>
      <c r="E143" t="s">
        <v>1549</v>
      </c>
      <c r="F143" t="s">
        <v>1545</v>
      </c>
      <c r="G143" t="s">
        <v>677</v>
      </c>
      <c r="H143" t="s">
        <v>704</v>
      </c>
      <c r="I143" t="str">
        <f>VLOOKUP('E-impôts'!A143,Feuil2!$A$1:$AA$298,5,0)</f>
        <v>KONE TIENE NICOLE</v>
      </c>
      <c r="J143">
        <v>748480154</v>
      </c>
      <c r="K143" t="s">
        <v>1549</v>
      </c>
      <c r="L143" t="s">
        <v>692</v>
      </c>
      <c r="M143" t="s">
        <v>672</v>
      </c>
      <c r="O143" t="s">
        <v>1551</v>
      </c>
      <c r="P143">
        <v>10000000</v>
      </c>
    </row>
    <row r="144" spans="1:16">
      <c r="A144" t="s">
        <v>281</v>
      </c>
      <c r="B144" t="s">
        <v>282</v>
      </c>
      <c r="C144" t="s">
        <v>2084</v>
      </c>
      <c r="D144" s="1">
        <v>43859</v>
      </c>
      <c r="E144" t="s">
        <v>1178</v>
      </c>
      <c r="F144" t="s">
        <v>1176</v>
      </c>
      <c r="G144" t="s">
        <v>677</v>
      </c>
      <c r="H144" t="s">
        <v>676</v>
      </c>
      <c r="I144" t="str">
        <f>VLOOKUP('E-impôts'!A144,Feuil2!$A$1:$AA$298,5,0)</f>
        <v>NULL</v>
      </c>
      <c r="J144">
        <v>707871577</v>
      </c>
      <c r="K144" t="s">
        <v>1178</v>
      </c>
      <c r="L144" t="s">
        <v>705</v>
      </c>
      <c r="M144" t="s">
        <v>672</v>
      </c>
      <c r="N144" t="s">
        <v>672</v>
      </c>
      <c r="O144" t="s">
        <v>672</v>
      </c>
      <c r="P144" t="s">
        <v>672</v>
      </c>
    </row>
    <row r="145" spans="1:16">
      <c r="A145" t="s">
        <v>283</v>
      </c>
      <c r="B145" t="s">
        <v>284</v>
      </c>
      <c r="C145" t="s">
        <v>2080</v>
      </c>
      <c r="D145" s="1">
        <v>43479</v>
      </c>
      <c r="E145" t="s">
        <v>730</v>
      </c>
      <c r="F145" t="s">
        <v>728</v>
      </c>
      <c r="G145" t="s">
        <v>677</v>
      </c>
      <c r="H145" t="s">
        <v>676</v>
      </c>
      <c r="I145" t="str">
        <f>VLOOKUP('E-impôts'!A145,Feuil2!$A$1:$AA$298,5,0)</f>
        <v>KIMOU ERIC</v>
      </c>
      <c r="J145">
        <v>101800240</v>
      </c>
      <c r="K145" t="s">
        <v>730</v>
      </c>
      <c r="N145" t="s">
        <v>672</v>
      </c>
      <c r="P145" t="s">
        <v>672</v>
      </c>
    </row>
    <row r="146" spans="1:16">
      <c r="A146" t="s">
        <v>285</v>
      </c>
      <c r="B146" t="s">
        <v>286</v>
      </c>
      <c r="C146" t="s">
        <v>2086</v>
      </c>
      <c r="D146" s="1">
        <v>44224</v>
      </c>
      <c r="E146" t="s">
        <v>1260</v>
      </c>
      <c r="F146" t="s">
        <v>1258</v>
      </c>
      <c r="G146" t="s">
        <v>677</v>
      </c>
      <c r="H146" t="s">
        <v>676</v>
      </c>
      <c r="I146" t="str">
        <f>VLOOKUP('E-impôts'!A146,Feuil2!$A$1:$AA$298,5,0)</f>
        <v>NULL</v>
      </c>
      <c r="J146">
        <v>2122443592</v>
      </c>
      <c r="K146" t="s">
        <v>1260</v>
      </c>
      <c r="L146" t="s">
        <v>692</v>
      </c>
      <c r="M146" t="s">
        <v>672</v>
      </c>
      <c r="N146" t="s">
        <v>672</v>
      </c>
      <c r="O146" t="s">
        <v>672</v>
      </c>
      <c r="P146" t="s">
        <v>672</v>
      </c>
    </row>
    <row r="147" spans="1:16">
      <c r="A147" t="s">
        <v>287</v>
      </c>
      <c r="B147" t="s">
        <v>288</v>
      </c>
      <c r="C147" t="s">
        <v>2089</v>
      </c>
      <c r="D147" s="1">
        <v>45294</v>
      </c>
      <c r="E147" t="s">
        <v>1913</v>
      </c>
      <c r="F147" t="s">
        <v>1907</v>
      </c>
      <c r="G147" t="s">
        <v>677</v>
      </c>
      <c r="H147" t="s">
        <v>704</v>
      </c>
      <c r="I147" t="str">
        <f>VLOOKUP('E-impôts'!A147,Feuil2!$A$1:$AA$298,5,0)</f>
        <v>KONAN GERARD</v>
      </c>
      <c r="J147">
        <v>153434475</v>
      </c>
      <c r="K147" t="s">
        <v>1913</v>
      </c>
      <c r="L147" t="s">
        <v>692</v>
      </c>
      <c r="M147" t="s">
        <v>681</v>
      </c>
      <c r="N147" t="s">
        <v>681</v>
      </c>
      <c r="O147" t="s">
        <v>681</v>
      </c>
      <c r="P147">
        <v>6000000</v>
      </c>
    </row>
    <row r="148" spans="1:16">
      <c r="A148" t="s">
        <v>289</v>
      </c>
      <c r="B148" t="s">
        <v>290</v>
      </c>
      <c r="C148" t="s">
        <v>2081</v>
      </c>
      <c r="D148" s="1">
        <v>44589</v>
      </c>
      <c r="E148" t="s">
        <v>1009</v>
      </c>
      <c r="F148" t="s">
        <v>1007</v>
      </c>
      <c r="G148" t="s">
        <v>677</v>
      </c>
      <c r="H148" t="s">
        <v>704</v>
      </c>
      <c r="I148" t="str">
        <f>VLOOKUP('E-impôts'!A148,Feuil2!$A$1:$AA$298,5,0)</f>
        <v>NULL</v>
      </c>
      <c r="J148">
        <v>709606012</v>
      </c>
      <c r="K148" t="s">
        <v>1009</v>
      </c>
      <c r="L148" t="s">
        <v>942</v>
      </c>
      <c r="M148" t="s">
        <v>672</v>
      </c>
      <c r="N148" t="s">
        <v>672</v>
      </c>
      <c r="O148" t="s">
        <v>672</v>
      </c>
      <c r="P148" t="s">
        <v>672</v>
      </c>
    </row>
    <row r="149" spans="1:16">
      <c r="A149" t="s">
        <v>291</v>
      </c>
      <c r="B149" t="s">
        <v>2090</v>
      </c>
      <c r="C149" t="s">
        <v>2081</v>
      </c>
      <c r="D149" s="1">
        <v>44953</v>
      </c>
      <c r="E149" t="s">
        <v>972</v>
      </c>
      <c r="F149" t="s">
        <v>939</v>
      </c>
      <c r="G149" t="s">
        <v>677</v>
      </c>
      <c r="H149" t="s">
        <v>704</v>
      </c>
      <c r="I149" t="str">
        <f>VLOOKUP('E-impôts'!A149,Feuil2!$A$1:$AA$298,5,0)</f>
        <v>NULL</v>
      </c>
      <c r="J149">
        <v>505095033</v>
      </c>
      <c r="K149" t="s">
        <v>972</v>
      </c>
      <c r="L149" t="s">
        <v>942</v>
      </c>
      <c r="M149" t="s">
        <v>672</v>
      </c>
      <c r="N149" t="s">
        <v>672</v>
      </c>
      <c r="O149" t="s">
        <v>672</v>
      </c>
      <c r="P149" t="s">
        <v>672</v>
      </c>
    </row>
    <row r="150" spans="1:16">
      <c r="A150" t="s">
        <v>292</v>
      </c>
      <c r="B150" t="s">
        <v>293</v>
      </c>
      <c r="C150" t="s">
        <v>2084</v>
      </c>
      <c r="D150" s="1">
        <v>44217</v>
      </c>
      <c r="E150" t="s">
        <v>1175</v>
      </c>
      <c r="F150" t="s">
        <v>1173</v>
      </c>
      <c r="G150" t="s">
        <v>677</v>
      </c>
      <c r="H150" t="s">
        <v>676</v>
      </c>
      <c r="I150" t="str">
        <f>VLOOKUP('E-impôts'!A150,Feuil2!$A$1:$AA$298,5,0)</f>
        <v>NULL</v>
      </c>
      <c r="J150">
        <v>747242373</v>
      </c>
      <c r="K150" t="s">
        <v>1175</v>
      </c>
      <c r="L150" t="s">
        <v>705</v>
      </c>
      <c r="M150" t="s">
        <v>672</v>
      </c>
      <c r="N150" t="s">
        <v>672</v>
      </c>
      <c r="O150" t="s">
        <v>672</v>
      </c>
      <c r="P150" t="s">
        <v>672</v>
      </c>
    </row>
    <row r="151" spans="1:16">
      <c r="A151" t="s">
        <v>294</v>
      </c>
      <c r="B151" t="s">
        <v>295</v>
      </c>
      <c r="C151" t="s">
        <v>2088</v>
      </c>
      <c r="D151" s="1">
        <v>45308</v>
      </c>
      <c r="E151" t="s">
        <v>1394</v>
      </c>
      <c r="F151" t="s">
        <v>1387</v>
      </c>
      <c r="G151" t="s">
        <v>677</v>
      </c>
      <c r="H151" t="s">
        <v>676</v>
      </c>
      <c r="I151" t="str">
        <f>VLOOKUP('E-impôts'!A151,Feuil2!$A$1:$AA$298,5,0)</f>
        <v>KAMAGATE MARIAME</v>
      </c>
      <c r="J151">
        <v>556628671</v>
      </c>
      <c r="K151" t="s">
        <v>1394</v>
      </c>
      <c r="L151" t="s">
        <v>742</v>
      </c>
      <c r="M151" t="s">
        <v>672</v>
      </c>
      <c r="O151" t="s">
        <v>1396</v>
      </c>
      <c r="P151" t="s">
        <v>672</v>
      </c>
    </row>
    <row r="152" spans="1:16">
      <c r="A152" t="s">
        <v>296</v>
      </c>
      <c r="B152" t="s">
        <v>297</v>
      </c>
      <c r="C152" t="s">
        <v>2085</v>
      </c>
      <c r="D152" s="1">
        <v>45320</v>
      </c>
      <c r="E152" t="s">
        <v>1748</v>
      </c>
      <c r="F152" t="s">
        <v>763</v>
      </c>
      <c r="G152" t="s">
        <v>677</v>
      </c>
      <c r="H152" t="s">
        <v>704</v>
      </c>
      <c r="I152" t="str">
        <f>VLOOKUP('E-impôts'!A152,Feuil2!$A$1:$AA$298,5,0)</f>
        <v>N'DRI KACOU EGHINARD FERREOL</v>
      </c>
      <c r="J152">
        <v>757417993</v>
      </c>
      <c r="K152" t="s">
        <v>1748</v>
      </c>
      <c r="L152" t="s">
        <v>750</v>
      </c>
      <c r="M152" t="s">
        <v>672</v>
      </c>
      <c r="O152" t="s">
        <v>672</v>
      </c>
      <c r="P152">
        <v>1000000</v>
      </c>
    </row>
    <row r="153" spans="1:16">
      <c r="A153" t="s">
        <v>298</v>
      </c>
      <c r="B153" t="s">
        <v>299</v>
      </c>
      <c r="C153" t="s">
        <v>2086</v>
      </c>
      <c r="D153" s="1">
        <v>45315</v>
      </c>
      <c r="E153" t="s">
        <v>1469</v>
      </c>
      <c r="F153" t="s">
        <v>1466</v>
      </c>
      <c r="G153" t="s">
        <v>677</v>
      </c>
      <c r="H153" t="s">
        <v>704</v>
      </c>
      <c r="I153" t="str">
        <f>VLOOKUP('E-impôts'!A153,Feuil2!$A$1:$AA$298,5,0)</f>
        <v xml:space="preserve">ATCHADE KAFIL CEDRIC </v>
      </c>
      <c r="J153">
        <v>759999163</v>
      </c>
      <c r="K153" t="s">
        <v>1469</v>
      </c>
      <c r="L153" t="s">
        <v>672</v>
      </c>
      <c r="M153" t="s">
        <v>1471</v>
      </c>
      <c r="N153">
        <v>26</v>
      </c>
      <c r="O153" t="s">
        <v>1472</v>
      </c>
      <c r="P153">
        <v>1000000</v>
      </c>
    </row>
    <row r="154" spans="1:16">
      <c r="A154" t="s">
        <v>300</v>
      </c>
      <c r="B154" t="s">
        <v>301</v>
      </c>
      <c r="D154" s="1">
        <v>43479</v>
      </c>
      <c r="I154" t="e">
        <f>VLOOKUP('E-impôts'!A154,Feuil2!$A$1:$AA$298,5,0)</f>
        <v>#N/A</v>
      </c>
    </row>
    <row r="155" spans="1:16">
      <c r="A155" t="s">
        <v>302</v>
      </c>
      <c r="B155" t="s">
        <v>303</v>
      </c>
      <c r="C155" t="s">
        <v>2080</v>
      </c>
      <c r="D155" s="1">
        <v>44224</v>
      </c>
      <c r="E155" t="s">
        <v>822</v>
      </c>
      <c r="F155" t="s">
        <v>717</v>
      </c>
      <c r="G155" t="s">
        <v>677</v>
      </c>
      <c r="H155" t="s">
        <v>676</v>
      </c>
      <c r="I155" t="s">
        <v>303</v>
      </c>
      <c r="J155">
        <v>749820808</v>
      </c>
      <c r="K155" t="s">
        <v>822</v>
      </c>
      <c r="L155" t="s">
        <v>678</v>
      </c>
      <c r="M155" t="s">
        <v>672</v>
      </c>
      <c r="N155" t="s">
        <v>672</v>
      </c>
      <c r="O155" t="s">
        <v>2369</v>
      </c>
      <c r="P155" t="s">
        <v>672</v>
      </c>
    </row>
    <row r="156" spans="1:16">
      <c r="A156" t="s">
        <v>304</v>
      </c>
      <c r="B156" t="s">
        <v>305</v>
      </c>
      <c r="D156" s="1">
        <v>44224</v>
      </c>
      <c r="I156" t="e">
        <f>VLOOKUP('E-impôts'!A156,Feuil2!$A$1:$AA$298,5,0)</f>
        <v>#N/A</v>
      </c>
    </row>
    <row r="157" spans="1:16">
      <c r="A157" t="s">
        <v>306</v>
      </c>
      <c r="B157" t="s">
        <v>307</v>
      </c>
      <c r="C157" t="s">
        <v>2085</v>
      </c>
      <c r="D157" s="1">
        <v>44592</v>
      </c>
      <c r="E157" t="s">
        <v>1171</v>
      </c>
      <c r="F157" t="s">
        <v>1123</v>
      </c>
      <c r="G157" t="s">
        <v>677</v>
      </c>
      <c r="H157" t="s">
        <v>704</v>
      </c>
      <c r="I157" t="str">
        <f>VLOOKUP('E-impôts'!A157,Feuil2!$A$1:$AA$298,5,0)</f>
        <v>NULL</v>
      </c>
      <c r="J157">
        <v>707417993</v>
      </c>
      <c r="K157" t="s">
        <v>1171</v>
      </c>
      <c r="L157" t="s">
        <v>705</v>
      </c>
      <c r="M157" t="s">
        <v>672</v>
      </c>
      <c r="N157" t="s">
        <v>672</v>
      </c>
      <c r="O157" t="s">
        <v>672</v>
      </c>
      <c r="P157" t="s">
        <v>672</v>
      </c>
    </row>
    <row r="158" spans="1:16">
      <c r="A158" t="s">
        <v>308</v>
      </c>
      <c r="B158" t="s">
        <v>309</v>
      </c>
      <c r="C158" t="s">
        <v>2084</v>
      </c>
      <c r="D158" s="1">
        <v>44224</v>
      </c>
      <c r="E158" t="s">
        <v>1169</v>
      </c>
      <c r="F158" t="s">
        <v>1167</v>
      </c>
      <c r="G158" t="s">
        <v>677</v>
      </c>
      <c r="H158" t="s">
        <v>704</v>
      </c>
      <c r="I158" t="str">
        <f>VLOOKUP('E-impôts'!A158,Feuil2!$A$1:$AA$298,5,0)</f>
        <v>NULL</v>
      </c>
      <c r="J158">
        <v>78375845</v>
      </c>
      <c r="K158" t="s">
        <v>1169</v>
      </c>
      <c r="L158" t="s">
        <v>798</v>
      </c>
      <c r="M158" t="s">
        <v>672</v>
      </c>
      <c r="N158" t="s">
        <v>672</v>
      </c>
      <c r="O158" t="s">
        <v>672</v>
      </c>
      <c r="P158" t="s">
        <v>672</v>
      </c>
    </row>
    <row r="159" spans="1:16">
      <c r="A159" t="s">
        <v>310</v>
      </c>
      <c r="B159" t="s">
        <v>311</v>
      </c>
      <c r="C159" t="s">
        <v>2086</v>
      </c>
      <c r="D159" s="1">
        <v>44585</v>
      </c>
      <c r="E159" t="s">
        <v>1294</v>
      </c>
      <c r="F159" t="s">
        <v>959</v>
      </c>
      <c r="G159" t="s">
        <v>677</v>
      </c>
      <c r="H159" t="s">
        <v>676</v>
      </c>
      <c r="I159" t="str">
        <f>VLOOKUP('E-impôts'!A159,Feuil2!$A$1:$AA$298,5,0)</f>
        <v>NULL</v>
      </c>
      <c r="K159" t="s">
        <v>1294</v>
      </c>
      <c r="L159" t="s">
        <v>942</v>
      </c>
      <c r="M159" t="s">
        <v>672</v>
      </c>
      <c r="N159" t="s">
        <v>672</v>
      </c>
      <c r="O159" t="s">
        <v>672</v>
      </c>
      <c r="P159" t="s">
        <v>672</v>
      </c>
    </row>
    <row r="160" spans="1:16">
      <c r="A160" t="s">
        <v>312</v>
      </c>
      <c r="B160" t="s">
        <v>313</v>
      </c>
      <c r="D160" s="1">
        <v>44764</v>
      </c>
      <c r="I160" t="s">
        <v>2398</v>
      </c>
      <c r="O160" t="s">
        <v>2399</v>
      </c>
    </row>
    <row r="161" spans="1:16">
      <c r="A161" t="s">
        <v>314</v>
      </c>
      <c r="B161" t="s">
        <v>315</v>
      </c>
      <c r="D161" s="1">
        <v>43479</v>
      </c>
      <c r="I161" t="e">
        <f>VLOOKUP('E-impôts'!A161,Feuil2!$A$1:$AA$298,5,0)</f>
        <v>#N/A</v>
      </c>
    </row>
    <row r="162" spans="1:16">
      <c r="A162" t="s">
        <v>316</v>
      </c>
      <c r="B162" t="s">
        <v>317</v>
      </c>
      <c r="C162" t="s">
        <v>2080</v>
      </c>
      <c r="D162" s="1">
        <v>44956</v>
      </c>
      <c r="E162" t="s">
        <v>902</v>
      </c>
      <c r="F162" t="s">
        <v>898</v>
      </c>
      <c r="G162" t="s">
        <v>677</v>
      </c>
      <c r="H162" t="s">
        <v>704</v>
      </c>
      <c r="I162" t="str">
        <f>VLOOKUP('E-impôts'!A162,Feuil2!$A$1:$AA$298,5,0)</f>
        <v>DJOGBENOU JEAN NOEL</v>
      </c>
      <c r="J162">
        <v>708414136</v>
      </c>
      <c r="K162" t="s">
        <v>902</v>
      </c>
      <c r="L162" t="s">
        <v>687</v>
      </c>
      <c r="M162" t="s">
        <v>793</v>
      </c>
      <c r="N162">
        <v>527</v>
      </c>
      <c r="O162" t="s">
        <v>2384</v>
      </c>
      <c r="P162">
        <v>10000000</v>
      </c>
    </row>
    <row r="163" spans="1:16">
      <c r="A163" t="s">
        <v>318</v>
      </c>
      <c r="B163" t="s">
        <v>319</v>
      </c>
      <c r="C163" t="s">
        <v>2080</v>
      </c>
      <c r="D163" s="1">
        <v>45314</v>
      </c>
      <c r="E163" t="s">
        <v>1437</v>
      </c>
      <c r="F163" t="s">
        <v>1435</v>
      </c>
      <c r="G163" t="s">
        <v>677</v>
      </c>
      <c r="H163" t="s">
        <v>704</v>
      </c>
      <c r="I163" t="str">
        <f>VLOOKUP('E-impôts'!A163,Feuil2!$A$1:$AA$298,5,0)</f>
        <v xml:space="preserve">LAN KWALY JEAN CAMILLE </v>
      </c>
      <c r="J163">
        <v>708509238</v>
      </c>
      <c r="K163" t="s">
        <v>1437</v>
      </c>
      <c r="L163" t="s">
        <v>687</v>
      </c>
      <c r="M163" t="s">
        <v>1438</v>
      </c>
      <c r="N163">
        <v>23</v>
      </c>
      <c r="O163" t="s">
        <v>2368</v>
      </c>
      <c r="P163" t="s">
        <v>672</v>
      </c>
    </row>
    <row r="164" spans="1:16">
      <c r="A164" t="s">
        <v>320</v>
      </c>
      <c r="B164" t="s">
        <v>321</v>
      </c>
      <c r="D164" s="1">
        <v>43859</v>
      </c>
      <c r="I164" t="e">
        <f>VLOOKUP('E-impôts'!A164,Feuil2!$A$1:$AA$298,5,0)</f>
        <v>#N/A</v>
      </c>
    </row>
    <row r="165" spans="1:16">
      <c r="A165" t="s">
        <v>322</v>
      </c>
      <c r="B165" t="s">
        <v>323</v>
      </c>
      <c r="D165" s="1">
        <v>43479</v>
      </c>
      <c r="I165" t="e">
        <f>VLOOKUP('E-impôts'!A165,Feuil2!$A$1:$AA$298,5,0)</f>
        <v>#N/A</v>
      </c>
    </row>
    <row r="166" spans="1:16">
      <c r="A166" t="s">
        <v>324</v>
      </c>
      <c r="B166" t="s">
        <v>325</v>
      </c>
      <c r="D166" s="1">
        <v>44589</v>
      </c>
      <c r="I166" t="e">
        <f>VLOOKUP('E-impôts'!A166,Feuil2!$A$1:$AA$298,5,0)</f>
        <v>#N/A</v>
      </c>
    </row>
    <row r="167" spans="1:16">
      <c r="A167" t="s">
        <v>326</v>
      </c>
      <c r="B167" t="s">
        <v>327</v>
      </c>
      <c r="D167" s="1">
        <v>44774</v>
      </c>
      <c r="I167" t="e">
        <f>VLOOKUP('E-impôts'!A167,Feuil2!$A$1:$AA$298,5,0)</f>
        <v>#N/A</v>
      </c>
    </row>
    <row r="168" spans="1:16">
      <c r="A168" t="s">
        <v>328</v>
      </c>
      <c r="B168" t="s">
        <v>329</v>
      </c>
      <c r="C168" t="s">
        <v>2080</v>
      </c>
      <c r="D168" s="1">
        <v>44264</v>
      </c>
      <c r="E168" t="s">
        <v>839</v>
      </c>
      <c r="F168" t="s">
        <v>837</v>
      </c>
      <c r="G168" t="s">
        <v>712</v>
      </c>
      <c r="H168" t="s">
        <v>704</v>
      </c>
      <c r="I168" t="s">
        <v>2372</v>
      </c>
      <c r="J168">
        <v>2722427504</v>
      </c>
      <c r="K168" t="s">
        <v>839</v>
      </c>
      <c r="L168" t="s">
        <v>705</v>
      </c>
      <c r="M168" t="s">
        <v>672</v>
      </c>
      <c r="N168" t="s">
        <v>672</v>
      </c>
      <c r="O168" t="s">
        <v>2373</v>
      </c>
      <c r="P168" t="s">
        <v>672</v>
      </c>
    </row>
    <row r="169" spans="1:16">
      <c r="A169" t="s">
        <v>330</v>
      </c>
      <c r="B169" t="s">
        <v>331</v>
      </c>
      <c r="C169" t="s">
        <v>2080</v>
      </c>
      <c r="D169" s="1">
        <v>45315</v>
      </c>
      <c r="E169" t="s">
        <v>1490</v>
      </c>
      <c r="F169" t="s">
        <v>1435</v>
      </c>
      <c r="G169" t="s">
        <v>677</v>
      </c>
      <c r="H169" t="s">
        <v>704</v>
      </c>
      <c r="I169" t="str">
        <f>VLOOKUP('E-impôts'!A169,Feuil2!$A$1:$AA$298,5,0)</f>
        <v xml:space="preserve">LAN KWALY JEAN CAMILLE </v>
      </c>
      <c r="J169">
        <v>708509238</v>
      </c>
      <c r="K169" t="s">
        <v>1490</v>
      </c>
      <c r="L169" t="s">
        <v>687</v>
      </c>
      <c r="M169" t="s">
        <v>1438</v>
      </c>
      <c r="N169">
        <v>23</v>
      </c>
      <c r="O169" t="s">
        <v>2374</v>
      </c>
      <c r="P169">
        <v>1000000</v>
      </c>
    </row>
    <row r="170" spans="1:16">
      <c r="A170" t="s">
        <v>332</v>
      </c>
      <c r="B170" t="s">
        <v>333</v>
      </c>
      <c r="D170" s="1">
        <v>44585</v>
      </c>
      <c r="I170" t="e">
        <f>VLOOKUP('E-impôts'!A170,Feuil2!$A$1:$AA$298,5,0)</f>
        <v>#N/A</v>
      </c>
    </row>
    <row r="171" spans="1:16">
      <c r="A171" t="s">
        <v>334</v>
      </c>
      <c r="B171" t="s">
        <v>335</v>
      </c>
      <c r="C171" t="s">
        <v>2084</v>
      </c>
      <c r="D171" s="1">
        <v>44592</v>
      </c>
      <c r="E171" t="s">
        <v>1768</v>
      </c>
      <c r="F171" t="s">
        <v>788</v>
      </c>
      <c r="G171" t="s">
        <v>677</v>
      </c>
      <c r="H171" t="s">
        <v>704</v>
      </c>
      <c r="I171" t="str">
        <f>VLOOKUP('E-impôts'!A171,Feuil2!$A$1:$AA$298,5,0)</f>
        <v>ZOGBO YVETTE</v>
      </c>
      <c r="J171">
        <v>708423838</v>
      </c>
      <c r="K171" t="s">
        <v>1768</v>
      </c>
      <c r="L171" t="s">
        <v>1222</v>
      </c>
      <c r="M171" t="s">
        <v>1770</v>
      </c>
      <c r="N171">
        <v>127</v>
      </c>
      <c r="O171" t="s">
        <v>1386</v>
      </c>
      <c r="P171">
        <v>1000000</v>
      </c>
    </row>
    <row r="172" spans="1:16">
      <c r="A172" t="s">
        <v>336</v>
      </c>
      <c r="B172" t="s">
        <v>337</v>
      </c>
      <c r="D172" s="1">
        <v>44572</v>
      </c>
      <c r="I172" t="e">
        <f>VLOOKUP('E-impôts'!A172,Feuil2!$A$1:$AA$298,5,0)</f>
        <v>#N/A</v>
      </c>
    </row>
    <row r="173" spans="1:16">
      <c r="A173" t="s">
        <v>338</v>
      </c>
      <c r="B173" t="s">
        <v>339</v>
      </c>
      <c r="C173" t="s">
        <v>2084</v>
      </c>
      <c r="D173" s="1">
        <v>44224</v>
      </c>
      <c r="E173" t="s">
        <v>1884</v>
      </c>
      <c r="F173" t="s">
        <v>788</v>
      </c>
      <c r="G173" t="s">
        <v>712</v>
      </c>
      <c r="H173" t="s">
        <v>704</v>
      </c>
      <c r="I173" t="str">
        <f>VLOOKUP('E-impôts'!A173,Feuil2!$A$1:$AA$298,5,0)</f>
        <v>YAO ADJOUA CLEMENTINE EPSE KASSI</v>
      </c>
      <c r="J173">
        <v>2242322216</v>
      </c>
      <c r="K173" t="s">
        <v>1884</v>
      </c>
      <c r="L173" t="s">
        <v>1222</v>
      </c>
      <c r="M173" t="s">
        <v>1886</v>
      </c>
      <c r="N173">
        <v>526</v>
      </c>
      <c r="O173" t="s">
        <v>910</v>
      </c>
      <c r="P173">
        <v>10000000</v>
      </c>
    </row>
    <row r="174" spans="1:16">
      <c r="A174" t="s">
        <v>340</v>
      </c>
      <c r="B174" t="s">
        <v>341</v>
      </c>
      <c r="C174" t="s">
        <v>2087</v>
      </c>
      <c r="D174" s="1">
        <v>45040</v>
      </c>
      <c r="E174" t="s">
        <v>1322</v>
      </c>
      <c r="F174" t="s">
        <v>1320</v>
      </c>
      <c r="G174" t="s">
        <v>677</v>
      </c>
      <c r="H174" t="s">
        <v>704</v>
      </c>
      <c r="I174" t="str">
        <f>VLOOKUP('E-impôts'!A174,Feuil2!$A$1:$AA$298,5,0)</f>
        <v>NULL</v>
      </c>
      <c r="J174">
        <v>707765675</v>
      </c>
      <c r="K174" t="s">
        <v>1322</v>
      </c>
      <c r="L174" t="s">
        <v>705</v>
      </c>
      <c r="M174" t="s">
        <v>672</v>
      </c>
      <c r="N174" t="s">
        <v>672</v>
      </c>
      <c r="O174" t="s">
        <v>672</v>
      </c>
      <c r="P174" t="s">
        <v>672</v>
      </c>
    </row>
    <row r="175" spans="1:16">
      <c r="A175" t="s">
        <v>342</v>
      </c>
      <c r="B175" t="s">
        <v>343</v>
      </c>
      <c r="D175" s="1">
        <v>44224</v>
      </c>
      <c r="I175" t="e">
        <f>VLOOKUP('E-impôts'!A175,Feuil2!$A$1:$AA$298,5,0)</f>
        <v>#N/A</v>
      </c>
    </row>
    <row r="176" spans="1:16">
      <c r="A176" t="s">
        <v>344</v>
      </c>
      <c r="B176" t="s">
        <v>345</v>
      </c>
      <c r="C176" t="s">
        <v>2084</v>
      </c>
      <c r="D176" s="1">
        <v>45316</v>
      </c>
      <c r="E176" t="s">
        <v>1572</v>
      </c>
      <c r="F176" t="s">
        <v>1568</v>
      </c>
      <c r="G176" t="s">
        <v>677</v>
      </c>
      <c r="H176" t="s">
        <v>704</v>
      </c>
      <c r="I176" t="str">
        <f>VLOOKUP('E-impôts'!A176,Feuil2!$A$1:$AA$298,5,0)</f>
        <v xml:space="preserve">COULIBALY SOUMAILA </v>
      </c>
      <c r="J176">
        <v>788881313</v>
      </c>
      <c r="K176" t="s">
        <v>1572</v>
      </c>
      <c r="L176" t="s">
        <v>942</v>
      </c>
      <c r="M176" t="s">
        <v>681</v>
      </c>
      <c r="N176" t="s">
        <v>681</v>
      </c>
      <c r="O176" t="s">
        <v>681</v>
      </c>
      <c r="P176">
        <v>1000000</v>
      </c>
    </row>
    <row r="177" spans="1:16">
      <c r="A177" t="s">
        <v>346</v>
      </c>
      <c r="B177" t="s">
        <v>347</v>
      </c>
      <c r="D177" s="1">
        <v>44224</v>
      </c>
      <c r="I177" t="e">
        <f>VLOOKUP('E-impôts'!A177,Feuil2!$A$1:$AA$298,5,0)</f>
        <v>#N/A</v>
      </c>
    </row>
    <row r="178" spans="1:16">
      <c r="A178" t="s">
        <v>348</v>
      </c>
      <c r="B178" t="s">
        <v>349</v>
      </c>
      <c r="C178" t="s">
        <v>2081</v>
      </c>
      <c r="D178" s="1">
        <v>44589</v>
      </c>
      <c r="E178" t="s">
        <v>1031</v>
      </c>
      <c r="F178" t="s">
        <v>872</v>
      </c>
      <c r="G178" t="s">
        <v>677</v>
      </c>
      <c r="H178" t="s">
        <v>704</v>
      </c>
      <c r="I178">
        <f>VLOOKUP('E-impôts'!A178,Feuil2!$A$1:$AA$298,5,0)</f>
        <v>0</v>
      </c>
      <c r="J178">
        <v>789549220</v>
      </c>
      <c r="K178" t="s">
        <v>1031</v>
      </c>
      <c r="L178" t="s">
        <v>942</v>
      </c>
      <c r="N178" t="s">
        <v>672</v>
      </c>
      <c r="P178" t="s">
        <v>672</v>
      </c>
    </row>
    <row r="179" spans="1:16">
      <c r="A179" t="s">
        <v>350</v>
      </c>
      <c r="B179" t="s">
        <v>351</v>
      </c>
      <c r="D179" s="1">
        <v>43479</v>
      </c>
      <c r="I179" t="e">
        <f>VLOOKUP('E-impôts'!A179,Feuil2!$A$1:$AA$298,5,0)</f>
        <v>#N/A</v>
      </c>
    </row>
    <row r="180" spans="1:16">
      <c r="A180" t="s">
        <v>352</v>
      </c>
      <c r="B180" t="s">
        <v>353</v>
      </c>
      <c r="C180" t="s">
        <v>2080</v>
      </c>
      <c r="D180" s="1">
        <v>43466</v>
      </c>
      <c r="E180" t="s">
        <v>675</v>
      </c>
      <c r="F180" t="s">
        <v>671</v>
      </c>
      <c r="G180" t="s">
        <v>677</v>
      </c>
      <c r="H180" t="s">
        <v>676</v>
      </c>
      <c r="I180" t="s">
        <v>353</v>
      </c>
      <c r="J180">
        <v>707059199</v>
      </c>
      <c r="K180" t="s">
        <v>675</v>
      </c>
      <c r="L180" t="s">
        <v>678</v>
      </c>
      <c r="M180" t="s">
        <v>672</v>
      </c>
      <c r="N180" t="s">
        <v>672</v>
      </c>
      <c r="O180" t="s">
        <v>2369</v>
      </c>
      <c r="P180" t="s">
        <v>672</v>
      </c>
    </row>
    <row r="181" spans="1:16">
      <c r="A181" t="s">
        <v>354</v>
      </c>
      <c r="B181" t="s">
        <v>355</v>
      </c>
      <c r="C181" t="s">
        <v>2084</v>
      </c>
      <c r="D181" s="1">
        <v>45322</v>
      </c>
      <c r="E181" t="s">
        <v>1959</v>
      </c>
      <c r="F181" t="s">
        <v>770</v>
      </c>
      <c r="G181" t="s">
        <v>677</v>
      </c>
      <c r="H181" t="s">
        <v>676</v>
      </c>
      <c r="I181" t="str">
        <f>VLOOKUP('E-impôts'!A181,Feuil2!$A$1:$AA$298,5,0)</f>
        <v xml:space="preserve">HOLLAND Nâ€™DA SEBASTIEN </v>
      </c>
      <c r="J181">
        <v>788881313</v>
      </c>
      <c r="K181" t="s">
        <v>1959</v>
      </c>
      <c r="L181" t="s">
        <v>1222</v>
      </c>
      <c r="M181" t="s">
        <v>681</v>
      </c>
      <c r="N181" t="s">
        <v>681</v>
      </c>
      <c r="O181" t="s">
        <v>681</v>
      </c>
      <c r="P181">
        <v>1000000</v>
      </c>
    </row>
    <row r="182" spans="1:16">
      <c r="A182" t="s">
        <v>356</v>
      </c>
      <c r="B182" t="s">
        <v>357</v>
      </c>
      <c r="C182" t="s">
        <v>2080</v>
      </c>
      <c r="D182" s="1">
        <v>44224</v>
      </c>
      <c r="E182" t="s">
        <v>929</v>
      </c>
      <c r="F182" t="s">
        <v>926</v>
      </c>
      <c r="G182" t="s">
        <v>677</v>
      </c>
      <c r="H182" t="s">
        <v>676</v>
      </c>
      <c r="I182" t="str">
        <f>VLOOKUP('E-impôts'!A182,Feuil2!$A$1:$AA$298,5,0)</f>
        <v>HAMDOUN HASSAN</v>
      </c>
      <c r="J182">
        <v>565009518</v>
      </c>
      <c r="K182" t="s">
        <v>929</v>
      </c>
      <c r="L182" t="s">
        <v>742</v>
      </c>
      <c r="M182" t="s">
        <v>931</v>
      </c>
      <c r="N182">
        <v>850</v>
      </c>
      <c r="O182" t="s">
        <v>2371</v>
      </c>
      <c r="P182" t="s">
        <v>672</v>
      </c>
    </row>
    <row r="183" spans="1:16">
      <c r="A183" t="s">
        <v>358</v>
      </c>
      <c r="B183" t="s">
        <v>359</v>
      </c>
      <c r="D183" s="1">
        <v>43479</v>
      </c>
      <c r="I183" t="e">
        <f>VLOOKUP('E-impôts'!A183,Feuil2!$A$1:$AA$298,5,0)</f>
        <v>#N/A</v>
      </c>
    </row>
    <row r="184" spans="1:16">
      <c r="A184" t="s">
        <v>360</v>
      </c>
      <c r="B184" t="s">
        <v>361</v>
      </c>
      <c r="C184" t="s">
        <v>2087</v>
      </c>
      <c r="D184" s="1">
        <v>44224</v>
      </c>
      <c r="E184" t="s">
        <v>1329</v>
      </c>
      <c r="F184" t="s">
        <v>672</v>
      </c>
      <c r="G184" t="s">
        <v>677</v>
      </c>
      <c r="H184" t="s">
        <v>704</v>
      </c>
      <c r="I184">
        <f>VLOOKUP('E-impôts'!A184,Feuil2!$A$1:$AA$298,5,0)</f>
        <v>0</v>
      </c>
      <c r="J184">
        <v>778433216</v>
      </c>
      <c r="K184" t="s">
        <v>1329</v>
      </c>
      <c r="L184" t="s">
        <v>692</v>
      </c>
      <c r="N184" t="s">
        <v>672</v>
      </c>
      <c r="P184" t="s">
        <v>672</v>
      </c>
    </row>
    <row r="185" spans="1:16">
      <c r="A185" t="s">
        <v>362</v>
      </c>
      <c r="B185" t="s">
        <v>363</v>
      </c>
      <c r="C185" t="s">
        <v>2083</v>
      </c>
      <c r="D185" s="1">
        <v>44589</v>
      </c>
      <c r="E185" t="s">
        <v>1070</v>
      </c>
      <c r="F185" t="s">
        <v>1068</v>
      </c>
      <c r="G185" t="s">
        <v>677</v>
      </c>
      <c r="H185" t="s">
        <v>704</v>
      </c>
      <c r="I185" t="str">
        <f>VLOOKUP('E-impôts'!A185,Feuil2!$A$1:$AA$298,5,0)</f>
        <v>NULL</v>
      </c>
      <c r="J185">
        <v>707278352</v>
      </c>
      <c r="K185" t="s">
        <v>1070</v>
      </c>
      <c r="L185" t="s">
        <v>798</v>
      </c>
      <c r="M185" t="s">
        <v>672</v>
      </c>
      <c r="N185" t="s">
        <v>672</v>
      </c>
      <c r="O185" t="s">
        <v>672</v>
      </c>
      <c r="P185" t="s">
        <v>672</v>
      </c>
    </row>
    <row r="186" spans="1:16">
      <c r="A186" t="s">
        <v>364</v>
      </c>
      <c r="B186" t="s">
        <v>365</v>
      </c>
      <c r="C186" t="s">
        <v>2080</v>
      </c>
      <c r="D186" s="1">
        <v>45306</v>
      </c>
      <c r="E186" t="s">
        <v>1354</v>
      </c>
      <c r="F186" t="s">
        <v>672</v>
      </c>
      <c r="G186" t="s">
        <v>677</v>
      </c>
      <c r="H186" t="s">
        <v>704</v>
      </c>
      <c r="I186" t="str">
        <f>VLOOKUP('E-impôts'!A186,Feuil2!$A$1:$AA$298,5,0)</f>
        <v>NULL</v>
      </c>
      <c r="J186">
        <v>707812605</v>
      </c>
      <c r="K186" t="s">
        <v>1354</v>
      </c>
      <c r="L186" t="s">
        <v>942</v>
      </c>
      <c r="M186" t="s">
        <v>672</v>
      </c>
      <c r="N186" t="s">
        <v>672</v>
      </c>
      <c r="O186" t="s">
        <v>672</v>
      </c>
      <c r="P186">
        <v>1000000</v>
      </c>
    </row>
    <row r="187" spans="1:16">
      <c r="A187" t="s">
        <v>366</v>
      </c>
      <c r="B187" t="s">
        <v>367</v>
      </c>
      <c r="C187" t="s">
        <v>2081</v>
      </c>
      <c r="D187" s="1">
        <v>45322</v>
      </c>
      <c r="E187" t="s">
        <v>1971</v>
      </c>
      <c r="F187" t="s">
        <v>959</v>
      </c>
      <c r="G187" t="s">
        <v>677</v>
      </c>
      <c r="H187" t="s">
        <v>704</v>
      </c>
      <c r="I187" t="str">
        <f>VLOOKUP('E-impôts'!A187,Feuil2!$A$1:$AA$298,5,0)</f>
        <v>SOULEYMANE SIDIBE</v>
      </c>
      <c r="J187">
        <v>102916249</v>
      </c>
      <c r="K187" t="s">
        <v>1971</v>
      </c>
      <c r="L187" t="s">
        <v>942</v>
      </c>
      <c r="M187" t="s">
        <v>1972</v>
      </c>
      <c r="N187">
        <v>23</v>
      </c>
      <c r="O187" t="s">
        <v>1454</v>
      </c>
      <c r="P187">
        <v>1000000</v>
      </c>
    </row>
    <row r="188" spans="1:16">
      <c r="A188" t="s">
        <v>368</v>
      </c>
      <c r="B188" t="s">
        <v>369</v>
      </c>
      <c r="C188" t="s">
        <v>2081</v>
      </c>
      <c r="D188" s="1">
        <v>44953</v>
      </c>
      <c r="E188" t="s">
        <v>980</v>
      </c>
      <c r="F188" t="s">
        <v>978</v>
      </c>
      <c r="G188" t="s">
        <v>677</v>
      </c>
      <c r="H188" t="s">
        <v>704</v>
      </c>
      <c r="I188" t="str">
        <f>VLOOKUP('E-impôts'!A188,Feuil2!$A$1:$AA$298,5,0)</f>
        <v>NULL</v>
      </c>
      <c r="J188">
        <v>565117105</v>
      </c>
      <c r="K188" t="s">
        <v>980</v>
      </c>
      <c r="L188" t="s">
        <v>942</v>
      </c>
      <c r="M188" t="s">
        <v>672</v>
      </c>
      <c r="N188" t="s">
        <v>672</v>
      </c>
      <c r="O188" t="s">
        <v>672</v>
      </c>
      <c r="P188" t="s">
        <v>672</v>
      </c>
    </row>
    <row r="189" spans="1:16">
      <c r="A189" t="s">
        <v>370</v>
      </c>
      <c r="B189" t="s">
        <v>371</v>
      </c>
      <c r="C189" t="s">
        <v>2089</v>
      </c>
      <c r="D189" s="1">
        <v>45322</v>
      </c>
      <c r="E189" t="s">
        <v>1920</v>
      </c>
      <c r="F189" t="s">
        <v>1914</v>
      </c>
      <c r="G189" t="s">
        <v>677</v>
      </c>
      <c r="H189" t="s">
        <v>704</v>
      </c>
      <c r="I189" t="str">
        <f>VLOOKUP('E-impôts'!A189,Feuil2!$A$1:$AA$298,5,0)</f>
        <v>KOUASSI LOU TIENAN BELI AUDE MARIETTE</v>
      </c>
      <c r="J189">
        <v>748781010</v>
      </c>
      <c r="K189" t="s">
        <v>1920</v>
      </c>
      <c r="L189" t="s">
        <v>1222</v>
      </c>
      <c r="M189" t="s">
        <v>1770</v>
      </c>
      <c r="N189">
        <v>322</v>
      </c>
      <c r="O189" t="s">
        <v>1922</v>
      </c>
      <c r="P189">
        <v>5000000</v>
      </c>
    </row>
    <row r="190" spans="1:16">
      <c r="A190" t="s">
        <v>372</v>
      </c>
      <c r="B190" t="s">
        <v>373</v>
      </c>
      <c r="C190" t="s">
        <v>2081</v>
      </c>
      <c r="D190" s="1">
        <v>44939</v>
      </c>
      <c r="E190" t="s">
        <v>951</v>
      </c>
      <c r="F190" t="s">
        <v>939</v>
      </c>
      <c r="G190" t="s">
        <v>677</v>
      </c>
      <c r="H190" t="s">
        <v>704</v>
      </c>
      <c r="I190" t="str">
        <f>VLOOKUP('E-impôts'!A190,Feuil2!$A$1:$AA$298,5,0)</f>
        <v>NULL</v>
      </c>
      <c r="J190">
        <v>759484148</v>
      </c>
      <c r="K190" t="s">
        <v>951</v>
      </c>
      <c r="L190" t="s">
        <v>942</v>
      </c>
      <c r="M190" t="s">
        <v>672</v>
      </c>
      <c r="N190" t="s">
        <v>672</v>
      </c>
      <c r="O190" t="s">
        <v>672</v>
      </c>
      <c r="P190" t="s">
        <v>672</v>
      </c>
    </row>
    <row r="191" spans="1:16">
      <c r="A191" t="s">
        <v>374</v>
      </c>
      <c r="B191" t="s">
        <v>375</v>
      </c>
      <c r="D191" s="1">
        <v>43479</v>
      </c>
      <c r="I191" t="e">
        <f>VLOOKUP('E-impôts'!A191,Feuil2!$A$1:$AA$298,5,0)</f>
        <v>#N/A</v>
      </c>
    </row>
    <row r="192" spans="1:16">
      <c r="A192" t="s">
        <v>376</v>
      </c>
      <c r="B192" t="s">
        <v>377</v>
      </c>
      <c r="C192" t="s">
        <v>2080</v>
      </c>
      <c r="D192" s="1">
        <v>43466</v>
      </c>
      <c r="E192" t="s">
        <v>684</v>
      </c>
      <c r="F192" t="s">
        <v>679</v>
      </c>
      <c r="G192" t="s">
        <v>677</v>
      </c>
      <c r="H192" t="s">
        <v>676</v>
      </c>
      <c r="I192" t="str">
        <f>VLOOKUP('E-impôts'!A192,Feuil2!$A$1:$AA$298,5,0)</f>
        <v>GOLY ADJOUA EDITH ESTELLE</v>
      </c>
      <c r="J192">
        <v>758840340</v>
      </c>
      <c r="K192" t="s">
        <v>684</v>
      </c>
      <c r="L192" t="s">
        <v>687</v>
      </c>
      <c r="M192" t="s">
        <v>686</v>
      </c>
      <c r="N192">
        <v>541</v>
      </c>
      <c r="O192" t="s">
        <v>2397</v>
      </c>
      <c r="P192" t="s">
        <v>672</v>
      </c>
    </row>
    <row r="193" spans="1:16">
      <c r="A193" t="s">
        <v>378</v>
      </c>
      <c r="B193" t="s">
        <v>379</v>
      </c>
      <c r="C193" t="s">
        <v>2082</v>
      </c>
      <c r="D193" s="1">
        <v>44589</v>
      </c>
      <c r="E193" t="s">
        <v>1051</v>
      </c>
      <c r="F193" t="s">
        <v>672</v>
      </c>
      <c r="G193" t="s">
        <v>677</v>
      </c>
      <c r="H193" t="s">
        <v>676</v>
      </c>
      <c r="I193" t="str">
        <f>VLOOKUP('E-impôts'!A193,Feuil2!$A$1:$AA$298,5,0)</f>
        <v>NULL</v>
      </c>
      <c r="K193" t="s">
        <v>1051</v>
      </c>
      <c r="L193" t="s">
        <v>678</v>
      </c>
      <c r="M193" t="s">
        <v>672</v>
      </c>
      <c r="N193" t="s">
        <v>672</v>
      </c>
      <c r="O193" t="s">
        <v>672</v>
      </c>
      <c r="P193" t="s">
        <v>672</v>
      </c>
    </row>
    <row r="194" spans="1:16">
      <c r="A194" t="s">
        <v>380</v>
      </c>
      <c r="B194" t="s">
        <v>381</v>
      </c>
      <c r="C194" t="s">
        <v>2084</v>
      </c>
      <c r="D194" s="1">
        <v>45316</v>
      </c>
      <c r="E194" t="s">
        <v>1577</v>
      </c>
      <c r="F194" t="s">
        <v>1574</v>
      </c>
      <c r="G194" t="s">
        <v>677</v>
      </c>
      <c r="H194" t="s">
        <v>704</v>
      </c>
      <c r="I194" t="str">
        <f>VLOOKUP('E-impôts'!A194,Feuil2!$A$1:$AA$298,5,0)</f>
        <v>ANOH EBA MARIE</v>
      </c>
      <c r="J194">
        <v>788881313</v>
      </c>
      <c r="K194" t="s">
        <v>1577</v>
      </c>
      <c r="L194" t="s">
        <v>746</v>
      </c>
      <c r="M194" t="s">
        <v>681</v>
      </c>
      <c r="N194" t="s">
        <v>681</v>
      </c>
      <c r="O194" t="s">
        <v>681</v>
      </c>
      <c r="P194">
        <v>1000000</v>
      </c>
    </row>
    <row r="195" spans="1:16">
      <c r="A195" t="s">
        <v>382</v>
      </c>
      <c r="B195" t="s">
        <v>383</v>
      </c>
      <c r="C195" t="s">
        <v>2081</v>
      </c>
      <c r="D195" s="1">
        <v>44760</v>
      </c>
      <c r="E195" t="s">
        <v>1048</v>
      </c>
      <c r="F195" t="s">
        <v>672</v>
      </c>
      <c r="G195" t="s">
        <v>677</v>
      </c>
      <c r="H195" t="s">
        <v>704</v>
      </c>
      <c r="I195" t="str">
        <f>VLOOKUP('E-impôts'!A195,Feuil2!$A$1:$AA$298,5,0)</f>
        <v>NULL</v>
      </c>
      <c r="J195">
        <v>777328417</v>
      </c>
      <c r="K195" t="s">
        <v>1048</v>
      </c>
      <c r="L195" t="s">
        <v>942</v>
      </c>
      <c r="M195" t="s">
        <v>672</v>
      </c>
      <c r="N195" t="s">
        <v>672</v>
      </c>
      <c r="O195" t="s">
        <v>672</v>
      </c>
      <c r="P195" t="s">
        <v>672</v>
      </c>
    </row>
    <row r="196" spans="1:16">
      <c r="A196" t="s">
        <v>384</v>
      </c>
      <c r="B196" t="s">
        <v>385</v>
      </c>
      <c r="C196" t="s">
        <v>2085</v>
      </c>
      <c r="D196" s="1">
        <v>45317</v>
      </c>
      <c r="E196" t="s">
        <v>1674</v>
      </c>
      <c r="F196" t="s">
        <v>1671</v>
      </c>
      <c r="G196" t="s">
        <v>677</v>
      </c>
      <c r="H196" t="s">
        <v>704</v>
      </c>
      <c r="I196" t="str">
        <f>VLOOKUP('E-impôts'!A196,Feuil2!$A$1:$AA$298,5,0)</f>
        <v>EKUE EPSE OUATTARA KANLE</v>
      </c>
      <c r="J196">
        <v>759737728</v>
      </c>
      <c r="K196" t="s">
        <v>1674</v>
      </c>
      <c r="L196" t="s">
        <v>834</v>
      </c>
      <c r="M196" t="s">
        <v>1676</v>
      </c>
      <c r="N196">
        <v>442</v>
      </c>
      <c r="O196" t="s">
        <v>672</v>
      </c>
      <c r="P196">
        <v>1000000</v>
      </c>
    </row>
    <row r="197" spans="1:16">
      <c r="A197" t="s">
        <v>386</v>
      </c>
      <c r="B197" t="s">
        <v>387</v>
      </c>
      <c r="D197" s="1">
        <v>44589</v>
      </c>
      <c r="I197" t="e">
        <f>VLOOKUP('E-impôts'!A197,Feuil2!$A$1:$AA$298,5,0)</f>
        <v>#N/A</v>
      </c>
    </row>
    <row r="198" spans="1:16">
      <c r="A198" t="s">
        <v>388</v>
      </c>
      <c r="B198" t="s">
        <v>389</v>
      </c>
      <c r="C198" t="s">
        <v>2084</v>
      </c>
      <c r="D198" s="1">
        <v>44589</v>
      </c>
      <c r="E198" t="s">
        <v>1166</v>
      </c>
      <c r="F198" t="s">
        <v>1164</v>
      </c>
      <c r="G198" t="s">
        <v>712</v>
      </c>
      <c r="H198" t="s">
        <v>704</v>
      </c>
      <c r="I198" t="str">
        <f>VLOOKUP('E-impôts'!A198,Feuil2!$A$1:$AA$298,5,0)</f>
        <v>NULL</v>
      </c>
      <c r="J198">
        <v>709410290</v>
      </c>
      <c r="K198" t="s">
        <v>1166</v>
      </c>
      <c r="L198" t="s">
        <v>705</v>
      </c>
      <c r="M198" t="s">
        <v>672</v>
      </c>
      <c r="N198" t="s">
        <v>672</v>
      </c>
      <c r="O198" t="s">
        <v>672</v>
      </c>
      <c r="P198" t="s">
        <v>672</v>
      </c>
    </row>
    <row r="199" spans="1:16">
      <c r="A199" t="s">
        <v>390</v>
      </c>
      <c r="B199" t="s">
        <v>391</v>
      </c>
      <c r="C199" t="s">
        <v>2080</v>
      </c>
      <c r="D199" s="1">
        <v>44680</v>
      </c>
      <c r="E199" t="s">
        <v>854</v>
      </c>
      <c r="F199" t="s">
        <v>852</v>
      </c>
      <c r="G199" t="s">
        <v>677</v>
      </c>
      <c r="H199" t="s">
        <v>676</v>
      </c>
      <c r="I199" t="s">
        <v>391</v>
      </c>
      <c r="J199">
        <v>757284028</v>
      </c>
      <c r="K199" t="s">
        <v>854</v>
      </c>
      <c r="L199" t="s">
        <v>705</v>
      </c>
      <c r="M199" t="s">
        <v>672</v>
      </c>
      <c r="N199" t="s">
        <v>672</v>
      </c>
      <c r="O199" t="s">
        <v>2368</v>
      </c>
      <c r="P199" t="s">
        <v>672</v>
      </c>
    </row>
    <row r="200" spans="1:16">
      <c r="A200" t="s">
        <v>392</v>
      </c>
      <c r="B200" t="s">
        <v>393</v>
      </c>
      <c r="D200" s="1">
        <v>44945</v>
      </c>
      <c r="I200" t="e">
        <f>VLOOKUP('E-impôts'!A200,Feuil2!$A$1:$AA$298,5,0)</f>
        <v>#N/A</v>
      </c>
    </row>
    <row r="201" spans="1:16">
      <c r="A201" t="s">
        <v>394</v>
      </c>
      <c r="B201" t="s">
        <v>395</v>
      </c>
      <c r="C201" t="s">
        <v>2080</v>
      </c>
      <c r="D201" s="1">
        <v>45321</v>
      </c>
      <c r="E201" t="s">
        <v>1986</v>
      </c>
      <c r="F201" t="s">
        <v>1983</v>
      </c>
      <c r="G201" t="s">
        <v>677</v>
      </c>
      <c r="H201" t="s">
        <v>704</v>
      </c>
      <c r="I201" t="str">
        <f>VLOOKUP('E-impôts'!A201,Feuil2!$A$1:$AA$298,5,0)</f>
        <v>N'ZI KOUADIO N'DRI VICTORIEN</v>
      </c>
      <c r="J201">
        <v>707530941</v>
      </c>
      <c r="K201" t="s">
        <v>1986</v>
      </c>
      <c r="L201" t="s">
        <v>672</v>
      </c>
      <c r="M201" t="s">
        <v>1988</v>
      </c>
      <c r="N201">
        <v>34</v>
      </c>
      <c r="O201" t="s">
        <v>2396</v>
      </c>
      <c r="P201">
        <v>1500000</v>
      </c>
    </row>
    <row r="202" spans="1:16">
      <c r="A202" t="s">
        <v>396</v>
      </c>
      <c r="B202" t="s">
        <v>397</v>
      </c>
      <c r="C202" t="s">
        <v>2080</v>
      </c>
      <c r="D202" s="1">
        <v>45321</v>
      </c>
      <c r="E202" t="s">
        <v>1981</v>
      </c>
      <c r="F202" t="s">
        <v>1977</v>
      </c>
      <c r="G202" t="s">
        <v>677</v>
      </c>
      <c r="H202" t="s">
        <v>704</v>
      </c>
      <c r="I202" t="str">
        <f>VLOOKUP('E-impôts'!A202,Feuil2!$A$1:$AA$298,5,0)</f>
        <v>KADJA MIANNO WILFRIED-LOIC</v>
      </c>
      <c r="J202">
        <v>101939323</v>
      </c>
      <c r="K202" t="s">
        <v>1981</v>
      </c>
      <c r="L202" t="s">
        <v>746</v>
      </c>
      <c r="M202" t="s">
        <v>672</v>
      </c>
      <c r="N202" t="s">
        <v>672</v>
      </c>
      <c r="O202" t="s">
        <v>2370</v>
      </c>
      <c r="P202" t="s">
        <v>672</v>
      </c>
    </row>
    <row r="203" spans="1:16">
      <c r="A203" t="s">
        <v>398</v>
      </c>
      <c r="B203" t="s">
        <v>399</v>
      </c>
      <c r="C203" t="s">
        <v>2081</v>
      </c>
      <c r="D203" s="1">
        <v>44588</v>
      </c>
      <c r="E203" t="s">
        <v>1020</v>
      </c>
      <c r="F203" t="s">
        <v>982</v>
      </c>
      <c r="G203" t="s">
        <v>677</v>
      </c>
      <c r="H203" t="s">
        <v>704</v>
      </c>
      <c r="I203" t="str">
        <f>VLOOKUP('E-impôts'!A203,Feuil2!$A$1:$AA$298,5,0)</f>
        <v>NULL</v>
      </c>
      <c r="J203">
        <v>505040051</v>
      </c>
      <c r="K203" t="s">
        <v>1020</v>
      </c>
      <c r="L203" t="s">
        <v>942</v>
      </c>
      <c r="M203" t="s">
        <v>672</v>
      </c>
      <c r="N203" t="s">
        <v>672</v>
      </c>
      <c r="O203" t="s">
        <v>672</v>
      </c>
      <c r="P203" t="s">
        <v>672</v>
      </c>
    </row>
    <row r="204" spans="1:16">
      <c r="A204" t="s">
        <v>400</v>
      </c>
      <c r="B204" t="s">
        <v>401</v>
      </c>
      <c r="D204" s="1">
        <v>44197</v>
      </c>
      <c r="I204" t="e">
        <f>VLOOKUP('E-impôts'!A204,Feuil2!$A$1:$AA$298,5,0)</f>
        <v>#N/A</v>
      </c>
    </row>
    <row r="205" spans="1:16">
      <c r="A205" t="s">
        <v>402</v>
      </c>
      <c r="B205" t="s">
        <v>403</v>
      </c>
      <c r="C205" t="s">
        <v>2081</v>
      </c>
      <c r="D205" s="1">
        <v>44589</v>
      </c>
      <c r="E205" t="s">
        <v>1042</v>
      </c>
      <c r="F205" t="s">
        <v>959</v>
      </c>
      <c r="G205" t="s">
        <v>677</v>
      </c>
      <c r="H205" t="s">
        <v>704</v>
      </c>
      <c r="I205">
        <f>VLOOKUP('E-impôts'!A205,Feuil2!$A$1:$AA$298,5,0)</f>
        <v>0</v>
      </c>
      <c r="J205">
        <v>707243416</v>
      </c>
      <c r="K205" t="s">
        <v>1042</v>
      </c>
      <c r="L205" t="s">
        <v>942</v>
      </c>
      <c r="N205" t="s">
        <v>672</v>
      </c>
      <c r="P205" t="s">
        <v>672</v>
      </c>
    </row>
    <row r="206" spans="1:16">
      <c r="A206" t="s">
        <v>404</v>
      </c>
      <c r="B206" t="s">
        <v>405</v>
      </c>
      <c r="D206" s="1">
        <v>44224</v>
      </c>
      <c r="I206" t="e">
        <f>VLOOKUP('E-impôts'!A206,Feuil2!$A$1:$AA$298,5,0)</f>
        <v>#N/A</v>
      </c>
    </row>
    <row r="207" spans="1:16">
      <c r="A207" t="s">
        <v>406</v>
      </c>
      <c r="B207" t="s">
        <v>407</v>
      </c>
      <c r="C207" t="s">
        <v>2084</v>
      </c>
      <c r="D207" s="1">
        <v>45318</v>
      </c>
      <c r="E207" t="s">
        <v>1611</v>
      </c>
      <c r="F207" t="s">
        <v>1607</v>
      </c>
      <c r="G207" t="s">
        <v>677</v>
      </c>
      <c r="H207" t="s">
        <v>704</v>
      </c>
      <c r="I207" t="str">
        <f>VLOOKUP('E-impôts'!A207,Feuil2!$A$1:$AA$298,5,0)</f>
        <v>CHETIMA  MOUSTAPHA</v>
      </c>
      <c r="J207">
        <v>160693016</v>
      </c>
      <c r="K207" t="s">
        <v>1611</v>
      </c>
      <c r="L207" t="s">
        <v>746</v>
      </c>
      <c r="M207" t="s">
        <v>681</v>
      </c>
      <c r="N207" t="s">
        <v>681</v>
      </c>
      <c r="O207" t="s">
        <v>681</v>
      </c>
      <c r="P207">
        <v>5000001</v>
      </c>
    </row>
    <row r="208" spans="1:16">
      <c r="A208" t="s">
        <v>408</v>
      </c>
      <c r="B208" t="s">
        <v>409</v>
      </c>
      <c r="C208" t="s">
        <v>2080</v>
      </c>
      <c r="D208" s="1">
        <v>44197</v>
      </c>
      <c r="E208" t="s">
        <v>801</v>
      </c>
      <c r="F208" t="s">
        <v>799</v>
      </c>
      <c r="G208" t="s">
        <v>677</v>
      </c>
      <c r="H208" t="s">
        <v>676</v>
      </c>
      <c r="I208" t="str">
        <f>VLOOKUP('E-impôts'!A208,Feuil2!$A$1:$AA$298,5,0)</f>
        <v>NULL</v>
      </c>
      <c r="J208">
        <v>2722527459</v>
      </c>
      <c r="K208" t="s">
        <v>801</v>
      </c>
      <c r="L208" t="s">
        <v>705</v>
      </c>
      <c r="M208" t="s">
        <v>672</v>
      </c>
      <c r="N208" t="s">
        <v>672</v>
      </c>
      <c r="O208" t="s">
        <v>672</v>
      </c>
      <c r="P208" t="s">
        <v>672</v>
      </c>
    </row>
    <row r="209" spans="1:16">
      <c r="A209" t="s">
        <v>410</v>
      </c>
      <c r="B209" t="s">
        <v>411</v>
      </c>
      <c r="C209" t="s">
        <v>2080</v>
      </c>
      <c r="D209" s="1">
        <v>43836</v>
      </c>
      <c r="E209" t="s">
        <v>691</v>
      </c>
      <c r="F209" t="s">
        <v>689</v>
      </c>
      <c r="G209" t="s">
        <v>677</v>
      </c>
      <c r="H209" t="s">
        <v>676</v>
      </c>
      <c r="I209" t="s">
        <v>411</v>
      </c>
      <c r="J209">
        <v>707114141</v>
      </c>
      <c r="K209" t="s">
        <v>691</v>
      </c>
      <c r="L209" t="s">
        <v>692</v>
      </c>
      <c r="M209" t="s">
        <v>672</v>
      </c>
      <c r="N209" t="s">
        <v>672</v>
      </c>
      <c r="O209" t="s">
        <v>2405</v>
      </c>
      <c r="P209" t="s">
        <v>672</v>
      </c>
    </row>
    <row r="210" spans="1:16">
      <c r="A210" t="s">
        <v>412</v>
      </c>
      <c r="B210" t="s">
        <v>413</v>
      </c>
      <c r="C210" t="s">
        <v>2081</v>
      </c>
      <c r="D210" s="1">
        <v>44953</v>
      </c>
      <c r="E210" t="s">
        <v>984</v>
      </c>
      <c r="F210" t="s">
        <v>982</v>
      </c>
      <c r="G210" t="s">
        <v>677</v>
      </c>
      <c r="H210" t="s">
        <v>704</v>
      </c>
      <c r="I210" t="str">
        <f>VLOOKUP('E-impôts'!A210,Feuil2!$A$1:$AA$298,5,0)</f>
        <v>NULL</v>
      </c>
      <c r="J210">
        <v>153207528</v>
      </c>
      <c r="K210" t="s">
        <v>984</v>
      </c>
      <c r="L210" t="s">
        <v>942</v>
      </c>
      <c r="M210" t="s">
        <v>672</v>
      </c>
      <c r="N210" t="s">
        <v>672</v>
      </c>
      <c r="O210" t="s">
        <v>672</v>
      </c>
      <c r="P210" t="s">
        <v>672</v>
      </c>
    </row>
    <row r="211" spans="1:16">
      <c r="A211" t="s">
        <v>414</v>
      </c>
      <c r="B211" t="s">
        <v>415</v>
      </c>
      <c r="C211" t="s">
        <v>2081</v>
      </c>
      <c r="D211" s="1">
        <v>44589</v>
      </c>
      <c r="E211" t="s">
        <v>1005</v>
      </c>
      <c r="F211" t="s">
        <v>939</v>
      </c>
      <c r="G211" t="s">
        <v>677</v>
      </c>
      <c r="H211" t="s">
        <v>704</v>
      </c>
      <c r="I211" t="str">
        <f>VLOOKUP('E-impôts'!A211,Feuil2!$A$1:$AA$298,5,0)</f>
        <v>NULL</v>
      </c>
      <c r="J211">
        <v>505488000</v>
      </c>
      <c r="K211" t="s">
        <v>1005</v>
      </c>
      <c r="L211" t="s">
        <v>942</v>
      </c>
      <c r="M211" t="s">
        <v>672</v>
      </c>
      <c r="N211" t="s">
        <v>672</v>
      </c>
      <c r="O211" t="s">
        <v>672</v>
      </c>
      <c r="P211" t="s">
        <v>672</v>
      </c>
    </row>
    <row r="212" spans="1:16">
      <c r="A212" t="s">
        <v>416</v>
      </c>
      <c r="B212" t="s">
        <v>417</v>
      </c>
      <c r="C212" t="s">
        <v>2081</v>
      </c>
      <c r="D212" s="1">
        <v>44589</v>
      </c>
      <c r="E212" t="s">
        <v>999</v>
      </c>
      <c r="F212" t="s">
        <v>997</v>
      </c>
      <c r="G212" t="s">
        <v>677</v>
      </c>
      <c r="H212" t="s">
        <v>704</v>
      </c>
      <c r="I212" t="str">
        <f>VLOOKUP('E-impôts'!A212,Feuil2!$A$1:$AA$298,5,0)</f>
        <v>NULL</v>
      </c>
      <c r="J212">
        <v>708529890</v>
      </c>
      <c r="K212" t="s">
        <v>999</v>
      </c>
      <c r="L212" t="s">
        <v>942</v>
      </c>
      <c r="M212" t="s">
        <v>672</v>
      </c>
      <c r="N212" t="s">
        <v>672</v>
      </c>
      <c r="O212" t="s">
        <v>672</v>
      </c>
      <c r="P212" t="s">
        <v>672</v>
      </c>
    </row>
    <row r="213" spans="1:16">
      <c r="A213" t="s">
        <v>418</v>
      </c>
      <c r="B213" t="s">
        <v>419</v>
      </c>
      <c r="C213" t="s">
        <v>2081</v>
      </c>
      <c r="D213" s="1">
        <v>44589</v>
      </c>
      <c r="E213" t="s">
        <v>1033</v>
      </c>
      <c r="F213" t="s">
        <v>939</v>
      </c>
      <c r="G213" t="s">
        <v>677</v>
      </c>
      <c r="H213" t="s">
        <v>704</v>
      </c>
      <c r="I213" t="str">
        <f>VLOOKUP('E-impôts'!A213,Feuil2!$A$1:$AA$298,5,0)</f>
        <v>NULL</v>
      </c>
      <c r="J213">
        <v>777328417</v>
      </c>
      <c r="K213" t="s">
        <v>1033</v>
      </c>
      <c r="L213" t="s">
        <v>942</v>
      </c>
      <c r="M213" t="s">
        <v>672</v>
      </c>
      <c r="N213" t="s">
        <v>672</v>
      </c>
      <c r="O213" t="s">
        <v>672</v>
      </c>
      <c r="P213" t="s">
        <v>672</v>
      </c>
    </row>
    <row r="214" spans="1:16">
      <c r="A214" t="s">
        <v>420</v>
      </c>
      <c r="B214" t="s">
        <v>421</v>
      </c>
      <c r="D214" s="1">
        <v>43479</v>
      </c>
      <c r="I214" t="e">
        <f>VLOOKUP('E-impôts'!A214,Feuil2!$A$1:$AA$298,5,0)</f>
        <v>#N/A</v>
      </c>
    </row>
    <row r="215" spans="1:16">
      <c r="A215" t="s">
        <v>422</v>
      </c>
      <c r="B215" t="s">
        <v>423</v>
      </c>
      <c r="C215" t="s">
        <v>2086</v>
      </c>
      <c r="D215" s="1">
        <v>45320</v>
      </c>
      <c r="E215" t="s">
        <v>1751</v>
      </c>
      <c r="F215" t="s">
        <v>782</v>
      </c>
      <c r="G215" t="s">
        <v>677</v>
      </c>
      <c r="H215" t="s">
        <v>704</v>
      </c>
      <c r="I215" t="str">
        <f>VLOOKUP('E-impôts'!A215,Feuil2!$A$1:$AA$298,5,0)</f>
        <v>KOMENAN HUGUESBET N'DOUFFOU LOUIS</v>
      </c>
      <c r="J215">
        <v>749647044</v>
      </c>
      <c r="K215" t="s">
        <v>1751</v>
      </c>
      <c r="L215" t="s">
        <v>672</v>
      </c>
      <c r="M215" t="s">
        <v>672</v>
      </c>
      <c r="P215">
        <v>1000000</v>
      </c>
    </row>
    <row r="216" spans="1:16">
      <c r="A216" t="s">
        <v>424</v>
      </c>
      <c r="B216" t="s">
        <v>425</v>
      </c>
      <c r="C216" t="s">
        <v>2084</v>
      </c>
      <c r="D216" s="1">
        <v>44589</v>
      </c>
      <c r="E216" t="s">
        <v>1163</v>
      </c>
      <c r="F216" t="s">
        <v>1161</v>
      </c>
      <c r="G216" t="s">
        <v>712</v>
      </c>
      <c r="H216" t="s">
        <v>704</v>
      </c>
      <c r="I216" t="str">
        <f>VLOOKUP('E-impôts'!A216,Feuil2!$A$1:$AA$298,5,0)</f>
        <v>NULL</v>
      </c>
      <c r="J216">
        <v>708423838</v>
      </c>
      <c r="K216" t="s">
        <v>1163</v>
      </c>
      <c r="L216" t="s">
        <v>705</v>
      </c>
      <c r="M216" t="s">
        <v>672</v>
      </c>
      <c r="N216" t="s">
        <v>672</v>
      </c>
      <c r="O216" t="s">
        <v>672</v>
      </c>
      <c r="P216" t="s">
        <v>672</v>
      </c>
    </row>
    <row r="217" spans="1:16">
      <c r="A217" t="s">
        <v>426</v>
      </c>
      <c r="B217" t="s">
        <v>427</v>
      </c>
      <c r="C217" t="s">
        <v>2083</v>
      </c>
      <c r="D217" s="1">
        <v>44490</v>
      </c>
      <c r="E217" t="s">
        <v>1073</v>
      </c>
      <c r="F217" t="s">
        <v>788</v>
      </c>
      <c r="G217" t="s">
        <v>677</v>
      </c>
      <c r="H217" t="s">
        <v>704</v>
      </c>
      <c r="I217">
        <f>VLOOKUP('E-impôts'!A217,Feuil2!$A$1:$AA$298,5,0)</f>
        <v>0</v>
      </c>
      <c r="J217">
        <v>505596296</v>
      </c>
      <c r="K217" t="s">
        <v>1073</v>
      </c>
      <c r="L217" t="s">
        <v>834</v>
      </c>
      <c r="N217" t="s">
        <v>672</v>
      </c>
      <c r="P217" t="s">
        <v>672</v>
      </c>
    </row>
    <row r="218" spans="1:16">
      <c r="A218" t="s">
        <v>428</v>
      </c>
      <c r="B218" t="s">
        <v>429</v>
      </c>
      <c r="D218" s="1">
        <v>44589</v>
      </c>
      <c r="I218" t="e">
        <f>VLOOKUP('E-impôts'!A218,Feuil2!$A$1:$AA$298,5,0)</f>
        <v>#N/A</v>
      </c>
    </row>
    <row r="219" spans="1:16">
      <c r="A219" t="s">
        <v>430</v>
      </c>
      <c r="B219" t="s">
        <v>431</v>
      </c>
      <c r="C219" t="s">
        <v>2085</v>
      </c>
      <c r="D219" s="1">
        <v>45316</v>
      </c>
      <c r="E219" t="s">
        <v>1412</v>
      </c>
      <c r="F219" t="s">
        <v>1407</v>
      </c>
      <c r="G219" t="s">
        <v>712</v>
      </c>
      <c r="H219" t="s">
        <v>704</v>
      </c>
      <c r="I219" t="str">
        <f>VLOOKUP('E-impôts'!A219,Feuil2!$A$1:$AA$298,5,0)</f>
        <v xml:space="preserve">OUATTARA YELIE ABNAN FATOU </v>
      </c>
      <c r="J219">
        <v>504811010</v>
      </c>
      <c r="K219" t="s">
        <v>1412</v>
      </c>
      <c r="L219" t="s">
        <v>672</v>
      </c>
      <c r="M219" t="s">
        <v>672</v>
      </c>
      <c r="P219">
        <v>1000000</v>
      </c>
    </row>
    <row r="220" spans="1:16">
      <c r="A220" t="s">
        <v>432</v>
      </c>
      <c r="B220" t="s">
        <v>433</v>
      </c>
      <c r="C220" t="s">
        <v>2083</v>
      </c>
      <c r="D220" s="1">
        <v>44589</v>
      </c>
      <c r="E220" t="s">
        <v>1081</v>
      </c>
      <c r="F220" t="s">
        <v>1079</v>
      </c>
      <c r="G220" t="s">
        <v>677</v>
      </c>
      <c r="H220" t="s">
        <v>704</v>
      </c>
      <c r="I220" t="str">
        <f>VLOOKUP('E-impôts'!A220,Feuil2!$A$1:$AA$298,5,0)</f>
        <v>NULL</v>
      </c>
      <c r="J220">
        <v>708247146</v>
      </c>
      <c r="K220" t="s">
        <v>1081</v>
      </c>
      <c r="L220" t="s">
        <v>705</v>
      </c>
      <c r="M220" t="s">
        <v>672</v>
      </c>
      <c r="N220" t="s">
        <v>672</v>
      </c>
      <c r="O220" t="s">
        <v>672</v>
      </c>
      <c r="P220" t="s">
        <v>672</v>
      </c>
    </row>
    <row r="221" spans="1:16">
      <c r="A221" t="s">
        <v>434</v>
      </c>
      <c r="B221" t="s">
        <v>435</v>
      </c>
      <c r="C221" t="s">
        <v>2086</v>
      </c>
      <c r="D221" s="1">
        <v>45315</v>
      </c>
      <c r="E221" t="s">
        <v>1443</v>
      </c>
      <c r="F221" t="s">
        <v>1439</v>
      </c>
      <c r="G221" t="s">
        <v>677</v>
      </c>
      <c r="H221" t="s">
        <v>704</v>
      </c>
      <c r="I221" t="str">
        <f>VLOOKUP('E-impôts'!A221,Feuil2!$A$1:$AA$298,5,0)</f>
        <v xml:space="preserve">EL VAGHE HEID </v>
      </c>
      <c r="J221">
        <v>102074992</v>
      </c>
      <c r="K221" t="s">
        <v>1443</v>
      </c>
      <c r="L221" t="s">
        <v>942</v>
      </c>
      <c r="M221" t="s">
        <v>672</v>
      </c>
      <c r="O221" t="s">
        <v>1369</v>
      </c>
      <c r="P221">
        <v>1000000</v>
      </c>
    </row>
    <row r="222" spans="1:16">
      <c r="A222" t="s">
        <v>436</v>
      </c>
      <c r="B222" t="s">
        <v>437</v>
      </c>
      <c r="D222" s="1">
        <v>43859</v>
      </c>
      <c r="I222" t="e">
        <f>VLOOKUP('E-impôts'!A222,Feuil2!$A$1:$AA$298,5,0)</f>
        <v>#N/A</v>
      </c>
    </row>
    <row r="223" spans="1:16">
      <c r="A223" t="s">
        <v>438</v>
      </c>
      <c r="B223" t="s">
        <v>439</v>
      </c>
      <c r="C223" t="s">
        <v>2080</v>
      </c>
      <c r="D223" s="1">
        <v>43479</v>
      </c>
      <c r="E223" t="s">
        <v>759</v>
      </c>
      <c r="F223" t="s">
        <v>755</v>
      </c>
      <c r="G223" t="s">
        <v>677</v>
      </c>
      <c r="H223" t="s">
        <v>704</v>
      </c>
      <c r="I223" t="str">
        <f>VLOOKUP('E-impôts'!A223,Feuil2!$A$1:$AA$298,5,0)</f>
        <v>KOUADIO AHOU MICHAELLE</v>
      </c>
      <c r="J223">
        <v>102377494</v>
      </c>
      <c r="K223" t="s">
        <v>759</v>
      </c>
      <c r="L223" t="s">
        <v>687</v>
      </c>
      <c r="M223" t="s">
        <v>686</v>
      </c>
      <c r="N223">
        <v>222</v>
      </c>
      <c r="O223" t="s">
        <v>760</v>
      </c>
      <c r="P223">
        <v>1000000</v>
      </c>
    </row>
    <row r="224" spans="1:16">
      <c r="A224" t="s">
        <v>440</v>
      </c>
      <c r="B224" t="s">
        <v>441</v>
      </c>
      <c r="C224" t="s">
        <v>2080</v>
      </c>
      <c r="D224" s="1">
        <v>44218</v>
      </c>
      <c r="E224" t="s">
        <v>1351</v>
      </c>
      <c r="F224" t="s">
        <v>1350</v>
      </c>
      <c r="G224" t="s">
        <v>1352</v>
      </c>
      <c r="H224" t="s">
        <v>917</v>
      </c>
      <c r="I224" t="str">
        <f>VLOOKUP('E-impôts'!A224,Feuil2!$A$1:$AA$298,5,0)</f>
        <v>NULL</v>
      </c>
      <c r="J224">
        <v>708455274</v>
      </c>
      <c r="K224" t="s">
        <v>1351</v>
      </c>
      <c r="L224" t="s">
        <v>750</v>
      </c>
      <c r="M224" t="s">
        <v>672</v>
      </c>
      <c r="N224" t="s">
        <v>672</v>
      </c>
      <c r="O224" t="s">
        <v>672</v>
      </c>
      <c r="P224" t="s">
        <v>672</v>
      </c>
    </row>
    <row r="225" spans="1:16">
      <c r="A225" t="s">
        <v>442</v>
      </c>
      <c r="B225" t="s">
        <v>443</v>
      </c>
      <c r="C225" t="s">
        <v>2084</v>
      </c>
      <c r="D225" s="1">
        <v>43871</v>
      </c>
      <c r="E225" t="s">
        <v>1762</v>
      </c>
      <c r="F225" t="s">
        <v>1758</v>
      </c>
      <c r="G225" t="s">
        <v>677</v>
      </c>
      <c r="H225" t="s">
        <v>704</v>
      </c>
      <c r="I225" t="str">
        <f>VLOOKUP('E-impôts'!A225,Feuil2!$A$1:$AA$298,5,0)</f>
        <v xml:space="preserve">TRAZIE GOZIE </v>
      </c>
      <c r="J225">
        <v>505059047</v>
      </c>
      <c r="K225" t="s">
        <v>1762</v>
      </c>
      <c r="L225" t="s">
        <v>1222</v>
      </c>
      <c r="M225" t="s">
        <v>681</v>
      </c>
      <c r="N225" t="s">
        <v>681</v>
      </c>
      <c r="O225" t="s">
        <v>1585</v>
      </c>
      <c r="P225">
        <v>5000000</v>
      </c>
    </row>
    <row r="226" spans="1:16">
      <c r="A226" t="s">
        <v>444</v>
      </c>
      <c r="B226" t="s">
        <v>445</v>
      </c>
      <c r="C226" t="s">
        <v>2081</v>
      </c>
      <c r="D226" s="1">
        <v>45321</v>
      </c>
      <c r="E226" t="s">
        <v>1818</v>
      </c>
      <c r="F226" t="s">
        <v>959</v>
      </c>
      <c r="G226" t="s">
        <v>677</v>
      </c>
      <c r="H226" t="s">
        <v>704</v>
      </c>
      <c r="I226" t="str">
        <f>VLOOKUP('E-impôts'!A226,Feuil2!$A$1:$AA$298,5,0)</f>
        <v xml:space="preserve">TEHIA KOUASSI EDNA </v>
      </c>
      <c r="J226">
        <v>708075219</v>
      </c>
      <c r="K226" t="s">
        <v>1818</v>
      </c>
      <c r="L226" t="s">
        <v>942</v>
      </c>
      <c r="M226" t="s">
        <v>1820</v>
      </c>
      <c r="N226">
        <v>270</v>
      </c>
      <c r="O226" t="s">
        <v>1821</v>
      </c>
      <c r="P226">
        <v>1000000</v>
      </c>
    </row>
    <row r="227" spans="1:16">
      <c r="A227" t="s">
        <v>446</v>
      </c>
      <c r="B227" t="s">
        <v>447</v>
      </c>
      <c r="D227" s="1">
        <v>44589</v>
      </c>
      <c r="I227" t="e">
        <f>VLOOKUP('E-impôts'!A227,Feuil2!$A$1:$AA$298,5,0)</f>
        <v>#N/A</v>
      </c>
    </row>
    <row r="228" spans="1:16">
      <c r="A228" t="s">
        <v>448</v>
      </c>
      <c r="B228" t="s">
        <v>449</v>
      </c>
      <c r="D228" s="1">
        <v>44224</v>
      </c>
      <c r="I228" t="e">
        <f>VLOOKUP('E-impôts'!A228,Feuil2!$A$1:$AA$298,5,0)</f>
        <v>#N/A</v>
      </c>
    </row>
    <row r="229" spans="1:16">
      <c r="A229" t="s">
        <v>450</v>
      </c>
      <c r="B229" t="s">
        <v>451</v>
      </c>
      <c r="C229" t="s">
        <v>2084</v>
      </c>
      <c r="D229" s="1">
        <v>44203</v>
      </c>
      <c r="E229" t="s">
        <v>1160</v>
      </c>
      <c r="F229" t="s">
        <v>778</v>
      </c>
      <c r="G229" t="s">
        <v>677</v>
      </c>
      <c r="H229" t="s">
        <v>676</v>
      </c>
      <c r="I229" t="str">
        <f>VLOOKUP('E-impôts'!A229,Feuil2!$A$1:$AA$298,5,0)</f>
        <v>NULL</v>
      </c>
      <c r="J229">
        <v>707049368</v>
      </c>
      <c r="K229" t="s">
        <v>1160</v>
      </c>
      <c r="L229" t="s">
        <v>705</v>
      </c>
      <c r="M229" t="s">
        <v>672</v>
      </c>
      <c r="N229" t="s">
        <v>672</v>
      </c>
      <c r="O229" t="s">
        <v>672</v>
      </c>
      <c r="P229" t="s">
        <v>672</v>
      </c>
    </row>
    <row r="230" spans="1:16">
      <c r="A230" t="s">
        <v>452</v>
      </c>
      <c r="B230" t="s">
        <v>453</v>
      </c>
      <c r="D230" s="1">
        <v>43479</v>
      </c>
      <c r="I230" t="e">
        <f>VLOOKUP('E-impôts'!A230,Feuil2!$A$1:$AA$298,5,0)</f>
        <v>#N/A</v>
      </c>
    </row>
    <row r="231" spans="1:16">
      <c r="A231" t="s">
        <v>454</v>
      </c>
      <c r="B231" t="s">
        <v>455</v>
      </c>
      <c r="C231" t="s">
        <v>2081</v>
      </c>
      <c r="D231" s="1">
        <v>44953</v>
      </c>
      <c r="E231" t="s">
        <v>969</v>
      </c>
      <c r="F231" t="s">
        <v>939</v>
      </c>
      <c r="G231" t="s">
        <v>677</v>
      </c>
      <c r="H231" t="s">
        <v>704</v>
      </c>
      <c r="I231" t="str">
        <f>VLOOKUP('E-impôts'!A231,Feuil2!$A$1:$AA$298,5,0)</f>
        <v>NULL</v>
      </c>
      <c r="J231">
        <v>759484148</v>
      </c>
      <c r="K231" t="s">
        <v>969</v>
      </c>
      <c r="L231" t="s">
        <v>942</v>
      </c>
      <c r="M231" t="s">
        <v>672</v>
      </c>
      <c r="N231" t="s">
        <v>672</v>
      </c>
      <c r="O231" t="s">
        <v>672</v>
      </c>
      <c r="P231" t="s">
        <v>672</v>
      </c>
    </row>
    <row r="232" spans="1:16">
      <c r="A232" t="s">
        <v>456</v>
      </c>
      <c r="B232" t="s">
        <v>457</v>
      </c>
      <c r="C232" t="s">
        <v>2086</v>
      </c>
      <c r="D232" s="1">
        <v>44949</v>
      </c>
      <c r="E232" t="s">
        <v>1292</v>
      </c>
      <c r="F232" t="s">
        <v>1290</v>
      </c>
      <c r="G232" t="s">
        <v>677</v>
      </c>
      <c r="H232" t="s">
        <v>704</v>
      </c>
      <c r="I232" t="str">
        <f>VLOOKUP('E-impôts'!A232,Feuil2!$A$1:$AA$298,5,0)</f>
        <v>NULL</v>
      </c>
      <c r="J232">
        <v>788711112</v>
      </c>
      <c r="K232" t="s">
        <v>1292</v>
      </c>
      <c r="L232" t="s">
        <v>942</v>
      </c>
      <c r="M232" t="s">
        <v>672</v>
      </c>
      <c r="N232" t="s">
        <v>672</v>
      </c>
      <c r="O232" t="s">
        <v>672</v>
      </c>
      <c r="P232" t="s">
        <v>672</v>
      </c>
    </row>
    <row r="233" spans="1:16">
      <c r="A233" t="s">
        <v>458</v>
      </c>
      <c r="B233" t="s">
        <v>459</v>
      </c>
      <c r="C233" t="s">
        <v>2080</v>
      </c>
      <c r="D233" s="1">
        <v>44224</v>
      </c>
      <c r="E233" t="s">
        <v>937</v>
      </c>
      <c r="F233" t="s">
        <v>788</v>
      </c>
      <c r="G233" t="s">
        <v>677</v>
      </c>
      <c r="H233" t="s">
        <v>676</v>
      </c>
      <c r="I233" t="str">
        <f>VLOOKUP('E-impôts'!A233,Feuil2!$A$1:$AA$298,5,0)</f>
        <v>DOCTEUR DIOULO MATHURIN</v>
      </c>
      <c r="J233">
        <v>2722430459</v>
      </c>
      <c r="K233" t="s">
        <v>937</v>
      </c>
      <c r="L233" t="s">
        <v>687</v>
      </c>
      <c r="M233" t="s">
        <v>681</v>
      </c>
      <c r="N233" t="s">
        <v>681</v>
      </c>
      <c r="O233" t="s">
        <v>2395</v>
      </c>
      <c r="P233" t="s">
        <v>672</v>
      </c>
    </row>
    <row r="234" spans="1:16">
      <c r="A234" t="s">
        <v>460</v>
      </c>
      <c r="B234" t="s">
        <v>461</v>
      </c>
      <c r="D234" s="1">
        <v>45055</v>
      </c>
      <c r="I234" t="e">
        <f>VLOOKUP('E-impôts'!A234,Feuil2!$A$1:$AA$298,5,0)</f>
        <v>#N/A</v>
      </c>
    </row>
    <row r="235" spans="1:16">
      <c r="A235" t="s">
        <v>462</v>
      </c>
      <c r="B235" t="s">
        <v>463</v>
      </c>
      <c r="C235" t="s">
        <v>2084</v>
      </c>
      <c r="D235" s="1">
        <v>43859</v>
      </c>
      <c r="E235" t="s">
        <v>1157</v>
      </c>
      <c r="F235" t="s">
        <v>1155</v>
      </c>
      <c r="G235" t="s">
        <v>677</v>
      </c>
      <c r="H235" t="s">
        <v>676</v>
      </c>
      <c r="I235" t="str">
        <f>VLOOKUP('E-impôts'!A235,Feuil2!$A$1:$AA$298,5,0)</f>
        <v>NULL</v>
      </c>
      <c r="K235" t="s">
        <v>1157</v>
      </c>
      <c r="L235" t="s">
        <v>705</v>
      </c>
      <c r="M235" t="s">
        <v>672</v>
      </c>
      <c r="N235" t="s">
        <v>672</v>
      </c>
      <c r="O235" t="s">
        <v>672</v>
      </c>
      <c r="P235" t="s">
        <v>672</v>
      </c>
    </row>
    <row r="236" spans="1:16">
      <c r="A236" t="s">
        <v>464</v>
      </c>
      <c r="B236" t="s">
        <v>465</v>
      </c>
      <c r="C236" t="s">
        <v>2085</v>
      </c>
      <c r="D236" s="1">
        <v>44224</v>
      </c>
      <c r="E236" t="s">
        <v>1153</v>
      </c>
      <c r="F236" t="s">
        <v>1151</v>
      </c>
      <c r="G236" t="s">
        <v>712</v>
      </c>
      <c r="H236" t="s">
        <v>704</v>
      </c>
      <c r="I236" t="str">
        <f>VLOOKUP('E-impôts'!A236,Feuil2!$A$1:$AA$298,5,0)</f>
        <v>NULL</v>
      </c>
      <c r="J236">
        <v>2121014000</v>
      </c>
      <c r="K236" t="s">
        <v>1153</v>
      </c>
      <c r="L236" t="s">
        <v>705</v>
      </c>
      <c r="M236" t="s">
        <v>672</v>
      </c>
      <c r="N236" t="s">
        <v>672</v>
      </c>
      <c r="O236" t="s">
        <v>672</v>
      </c>
      <c r="P236" t="s">
        <v>672</v>
      </c>
    </row>
    <row r="237" spans="1:16">
      <c r="A237" t="s">
        <v>466</v>
      </c>
      <c r="B237" t="s">
        <v>467</v>
      </c>
      <c r="C237" t="s">
        <v>2081</v>
      </c>
      <c r="D237" s="1">
        <v>45099</v>
      </c>
      <c r="E237" t="s">
        <v>996</v>
      </c>
      <c r="F237" t="s">
        <v>994</v>
      </c>
      <c r="G237" t="s">
        <v>677</v>
      </c>
      <c r="H237" t="s">
        <v>704</v>
      </c>
      <c r="I237" t="str">
        <f>VLOOKUP('E-impôts'!A237,Feuil2!$A$1:$AA$298,5,0)</f>
        <v>NULL</v>
      </c>
      <c r="J237">
        <v>506497308</v>
      </c>
      <c r="K237" t="s">
        <v>996</v>
      </c>
      <c r="L237" t="s">
        <v>942</v>
      </c>
      <c r="M237" t="s">
        <v>672</v>
      </c>
      <c r="N237" t="s">
        <v>672</v>
      </c>
      <c r="O237" t="s">
        <v>672</v>
      </c>
      <c r="P237" t="s">
        <v>672</v>
      </c>
    </row>
    <row r="238" spans="1:16">
      <c r="A238" t="s">
        <v>468</v>
      </c>
      <c r="B238" t="s">
        <v>469</v>
      </c>
      <c r="D238" s="1">
        <v>43854</v>
      </c>
      <c r="I238" t="e">
        <f>VLOOKUP('E-impôts'!A238,Feuil2!$A$1:$AA$298,5,0)</f>
        <v>#N/A</v>
      </c>
    </row>
    <row r="239" spans="1:16">
      <c r="A239" t="s">
        <v>470</v>
      </c>
      <c r="B239" t="s">
        <v>471</v>
      </c>
      <c r="C239" t="s">
        <v>2084</v>
      </c>
      <c r="D239" s="1">
        <v>45320</v>
      </c>
      <c r="E239" t="s">
        <v>1616</v>
      </c>
      <c r="F239" t="s">
        <v>872</v>
      </c>
      <c r="G239" t="s">
        <v>677</v>
      </c>
      <c r="H239" t="s">
        <v>676</v>
      </c>
      <c r="I239" t="str">
        <f>VLOOKUP('E-impôts'!A239,Feuil2!$A$1:$AA$298,5,0)</f>
        <v>DIAKITE SARATA</v>
      </c>
      <c r="J239">
        <v>708530425</v>
      </c>
      <c r="K239" t="s">
        <v>1616</v>
      </c>
      <c r="L239" t="s">
        <v>750</v>
      </c>
      <c r="M239" t="s">
        <v>681</v>
      </c>
      <c r="N239" t="s">
        <v>681</v>
      </c>
      <c r="O239" t="s">
        <v>681</v>
      </c>
      <c r="P239" t="s">
        <v>672</v>
      </c>
    </row>
    <row r="240" spans="1:16">
      <c r="A240" t="s">
        <v>472</v>
      </c>
      <c r="B240" t="s">
        <v>473</v>
      </c>
      <c r="C240" t="s">
        <v>2080</v>
      </c>
      <c r="D240" s="1">
        <v>44985</v>
      </c>
      <c r="E240" t="s">
        <v>1729</v>
      </c>
      <c r="F240" t="s">
        <v>728</v>
      </c>
      <c r="G240" t="s">
        <v>677</v>
      </c>
      <c r="H240" t="s">
        <v>704</v>
      </c>
      <c r="I240" t="str">
        <f>VLOOKUP('E-impôts'!A240,Feuil2!$A$1:$AA$298,5,0)</f>
        <v>N'GUESSAN KORA ESTELLE</v>
      </c>
      <c r="J240">
        <v>707438904</v>
      </c>
      <c r="K240" t="s">
        <v>1729</v>
      </c>
      <c r="L240" t="s">
        <v>687</v>
      </c>
      <c r="M240" t="s">
        <v>681</v>
      </c>
      <c r="N240" t="s">
        <v>681</v>
      </c>
      <c r="O240" t="s">
        <v>1730</v>
      </c>
      <c r="P240">
        <v>1000000</v>
      </c>
    </row>
    <row r="241" spans="1:16">
      <c r="A241" t="s">
        <v>474</v>
      </c>
      <c r="B241" t="s">
        <v>475</v>
      </c>
      <c r="C241" t="s">
        <v>2084</v>
      </c>
      <c r="D241" s="1">
        <v>44224</v>
      </c>
      <c r="E241" t="s">
        <v>1149</v>
      </c>
      <c r="F241" t="s">
        <v>1147</v>
      </c>
      <c r="G241" t="s">
        <v>677</v>
      </c>
      <c r="H241" t="s">
        <v>704</v>
      </c>
      <c r="I241" t="str">
        <f>VLOOKUP('E-impôts'!A241,Feuil2!$A$1:$AA$298,5,0)</f>
        <v>NULL</v>
      </c>
      <c r="J241">
        <v>707364821</v>
      </c>
      <c r="K241" t="s">
        <v>1149</v>
      </c>
      <c r="L241" t="s">
        <v>798</v>
      </c>
      <c r="M241" t="s">
        <v>672</v>
      </c>
      <c r="N241" t="s">
        <v>672</v>
      </c>
      <c r="O241" t="s">
        <v>672</v>
      </c>
      <c r="P241" t="s">
        <v>672</v>
      </c>
    </row>
    <row r="242" spans="1:16">
      <c r="A242" t="s">
        <v>476</v>
      </c>
      <c r="B242" t="s">
        <v>477</v>
      </c>
      <c r="C242" t="s">
        <v>2080</v>
      </c>
      <c r="D242" s="1">
        <v>44197</v>
      </c>
      <c r="E242" t="s">
        <v>819</v>
      </c>
      <c r="F242" t="s">
        <v>817</v>
      </c>
      <c r="G242" t="s">
        <v>677</v>
      </c>
      <c r="H242" t="s">
        <v>704</v>
      </c>
      <c r="I242" t="s">
        <v>2394</v>
      </c>
      <c r="J242">
        <v>707053694</v>
      </c>
      <c r="K242" t="s">
        <v>819</v>
      </c>
      <c r="L242" t="s">
        <v>798</v>
      </c>
      <c r="M242" t="s">
        <v>672</v>
      </c>
      <c r="N242" t="s">
        <v>672</v>
      </c>
      <c r="O242" t="s">
        <v>2395</v>
      </c>
      <c r="P242" t="s">
        <v>672</v>
      </c>
    </row>
    <row r="243" spans="1:16">
      <c r="A243" t="s">
        <v>478</v>
      </c>
      <c r="B243" t="s">
        <v>479</v>
      </c>
      <c r="D243" s="1">
        <v>44942</v>
      </c>
      <c r="I243" t="e">
        <f>VLOOKUP('E-impôts'!A243,Feuil2!$A$1:$AA$298,5,0)</f>
        <v>#N/A</v>
      </c>
    </row>
    <row r="244" spans="1:16">
      <c r="A244" t="s">
        <v>480</v>
      </c>
      <c r="B244" t="s">
        <v>481</v>
      </c>
      <c r="C244" t="s">
        <v>2081</v>
      </c>
      <c r="D244" s="1">
        <v>45321</v>
      </c>
      <c r="E244" t="s">
        <v>1826</v>
      </c>
      <c r="F244" t="s">
        <v>1823</v>
      </c>
      <c r="G244" t="s">
        <v>677</v>
      </c>
      <c r="H244" t="s">
        <v>676</v>
      </c>
      <c r="I244" t="str">
        <f>VLOOKUP('E-impôts'!A244,Feuil2!$A$1:$AA$298,5,0)</f>
        <v>DAO MABONA</v>
      </c>
      <c r="J244">
        <v>707812605</v>
      </c>
      <c r="K244" t="s">
        <v>1826</v>
      </c>
      <c r="L244" t="s">
        <v>942</v>
      </c>
      <c r="M244" t="s">
        <v>672</v>
      </c>
      <c r="P244" t="s">
        <v>672</v>
      </c>
    </row>
    <row r="245" spans="1:16">
      <c r="A245" t="s">
        <v>482</v>
      </c>
      <c r="B245" t="s">
        <v>483</v>
      </c>
      <c r="C245" t="s">
        <v>2081</v>
      </c>
      <c r="D245" s="1">
        <v>44957</v>
      </c>
      <c r="E245" t="s">
        <v>990</v>
      </c>
      <c r="F245" t="s">
        <v>988</v>
      </c>
      <c r="G245" t="s">
        <v>677</v>
      </c>
      <c r="H245" t="s">
        <v>676</v>
      </c>
      <c r="I245" t="str">
        <f>VLOOKUP('E-impôts'!A245,Feuil2!$A$1:$AA$298,5,0)</f>
        <v>NULL</v>
      </c>
      <c r="J245">
        <v>707582582</v>
      </c>
      <c r="K245" t="s">
        <v>990</v>
      </c>
      <c r="L245" t="s">
        <v>942</v>
      </c>
      <c r="M245" t="s">
        <v>672</v>
      </c>
      <c r="N245" t="s">
        <v>672</v>
      </c>
      <c r="O245" t="s">
        <v>672</v>
      </c>
      <c r="P245" t="s">
        <v>672</v>
      </c>
    </row>
    <row r="246" spans="1:16">
      <c r="A246" t="s">
        <v>484</v>
      </c>
      <c r="B246" t="s">
        <v>485</v>
      </c>
      <c r="C246" t="s">
        <v>2084</v>
      </c>
      <c r="D246" s="1">
        <v>44212</v>
      </c>
      <c r="E246" t="s">
        <v>1116</v>
      </c>
      <c r="F246" t="s">
        <v>1136</v>
      </c>
      <c r="G246" t="s">
        <v>677</v>
      </c>
      <c r="H246" t="s">
        <v>676</v>
      </c>
      <c r="I246" t="str">
        <f>VLOOKUP('E-impôts'!A246,Feuil2!$A$1:$AA$298,5,0)</f>
        <v>NULL</v>
      </c>
      <c r="J246">
        <v>707092095</v>
      </c>
      <c r="K246" t="s">
        <v>1116</v>
      </c>
      <c r="L246" t="s">
        <v>705</v>
      </c>
      <c r="M246" t="s">
        <v>672</v>
      </c>
      <c r="N246" t="s">
        <v>672</v>
      </c>
      <c r="O246" t="s">
        <v>672</v>
      </c>
      <c r="P246" t="s">
        <v>672</v>
      </c>
    </row>
    <row r="247" spans="1:16">
      <c r="A247" t="s">
        <v>486</v>
      </c>
      <c r="B247" t="s">
        <v>487</v>
      </c>
      <c r="C247" t="s">
        <v>2084</v>
      </c>
      <c r="D247" s="1">
        <v>44769</v>
      </c>
      <c r="E247" t="s">
        <v>1134</v>
      </c>
      <c r="F247" t="s">
        <v>1079</v>
      </c>
      <c r="G247" t="s">
        <v>1135</v>
      </c>
      <c r="H247" t="s">
        <v>676</v>
      </c>
      <c r="I247" t="str">
        <f>VLOOKUP('E-impôts'!A247,Feuil2!$A$1:$AA$298,5,0)</f>
        <v>NULL</v>
      </c>
      <c r="J247">
        <v>747439538</v>
      </c>
      <c r="K247" t="s">
        <v>1134</v>
      </c>
      <c r="L247" t="s">
        <v>705</v>
      </c>
      <c r="M247" t="s">
        <v>672</v>
      </c>
      <c r="N247" t="s">
        <v>672</v>
      </c>
      <c r="O247" t="s">
        <v>672</v>
      </c>
      <c r="P247" t="s">
        <v>672</v>
      </c>
    </row>
    <row r="248" spans="1:16">
      <c r="A248" t="s">
        <v>488</v>
      </c>
      <c r="B248" t="s">
        <v>489</v>
      </c>
      <c r="C248" t="s">
        <v>2084</v>
      </c>
      <c r="D248" s="1">
        <v>43851</v>
      </c>
      <c r="E248" t="s">
        <v>1132</v>
      </c>
      <c r="F248" t="s">
        <v>1130</v>
      </c>
      <c r="G248" t="s">
        <v>677</v>
      </c>
      <c r="H248" t="s">
        <v>676</v>
      </c>
      <c r="I248" t="str">
        <f>VLOOKUP('E-impôts'!A248,Feuil2!$A$1:$AA$298,5,0)</f>
        <v>NULL</v>
      </c>
      <c r="J248">
        <v>707803420</v>
      </c>
      <c r="K248" t="s">
        <v>1132</v>
      </c>
      <c r="L248" t="s">
        <v>705</v>
      </c>
      <c r="M248" t="s">
        <v>672</v>
      </c>
      <c r="N248" t="s">
        <v>672</v>
      </c>
      <c r="O248" t="s">
        <v>672</v>
      </c>
      <c r="P248" t="s">
        <v>672</v>
      </c>
    </row>
    <row r="249" spans="1:16">
      <c r="A249" t="s">
        <v>490</v>
      </c>
      <c r="B249" t="s">
        <v>491</v>
      </c>
      <c r="C249" t="s">
        <v>2081</v>
      </c>
      <c r="D249" s="1">
        <v>44939</v>
      </c>
      <c r="E249" t="s">
        <v>1018</v>
      </c>
      <c r="F249" t="s">
        <v>1895</v>
      </c>
      <c r="G249" t="s">
        <v>677</v>
      </c>
      <c r="H249" t="s">
        <v>676</v>
      </c>
      <c r="I249" t="str">
        <f>VLOOKUP('E-impôts'!A249,Feuil2!$A$1:$AA$298,5,0)</f>
        <v>COULIBALY TIOSSON SAINDOU</v>
      </c>
      <c r="J249">
        <v>709131395</v>
      </c>
      <c r="K249" t="s">
        <v>1018</v>
      </c>
      <c r="L249" t="s">
        <v>672</v>
      </c>
      <c r="M249" t="s">
        <v>681</v>
      </c>
      <c r="N249" t="s">
        <v>681</v>
      </c>
      <c r="O249" t="s">
        <v>1369</v>
      </c>
      <c r="P249">
        <v>1000000</v>
      </c>
    </row>
    <row r="250" spans="1:16">
      <c r="A250" t="s">
        <v>492</v>
      </c>
      <c r="B250" t="s">
        <v>493</v>
      </c>
      <c r="D250" s="1">
        <v>43479</v>
      </c>
      <c r="I250" t="e">
        <f>VLOOKUP('E-impôts'!A250,Feuil2!$A$1:$AA$298,5,0)</f>
        <v>#N/A</v>
      </c>
    </row>
    <row r="251" spans="1:16">
      <c r="A251" t="s">
        <v>494</v>
      </c>
      <c r="B251" t="s">
        <v>495</v>
      </c>
      <c r="C251" t="s">
        <v>2080</v>
      </c>
      <c r="D251" s="1">
        <v>43479</v>
      </c>
      <c r="E251" t="s">
        <v>711</v>
      </c>
      <c r="F251" t="s">
        <v>709</v>
      </c>
      <c r="G251" t="s">
        <v>712</v>
      </c>
      <c r="H251" t="s">
        <v>704</v>
      </c>
      <c r="I251" t="s">
        <v>2393</v>
      </c>
      <c r="J251">
        <v>101017474</v>
      </c>
      <c r="K251" t="s">
        <v>711</v>
      </c>
      <c r="L251" t="s">
        <v>678</v>
      </c>
      <c r="O251" t="s">
        <v>2368</v>
      </c>
      <c r="P251" t="s">
        <v>672</v>
      </c>
    </row>
    <row r="252" spans="1:16">
      <c r="A252" t="s">
        <v>496</v>
      </c>
      <c r="B252" t="s">
        <v>497</v>
      </c>
      <c r="D252" s="1">
        <v>44224</v>
      </c>
      <c r="I252" t="e">
        <f>VLOOKUP('E-impôts'!A252,Feuil2!$A$1:$AA$298,5,0)</f>
        <v>#N/A</v>
      </c>
    </row>
    <row r="253" spans="1:16">
      <c r="A253" t="s">
        <v>498</v>
      </c>
      <c r="B253" t="s">
        <v>499</v>
      </c>
      <c r="D253" s="1">
        <v>43479</v>
      </c>
      <c r="I253" t="e">
        <f>VLOOKUP('E-impôts'!A253,Feuil2!$A$1:$AA$298,5,0)</f>
        <v>#N/A</v>
      </c>
    </row>
    <row r="254" spans="1:16">
      <c r="A254" t="s">
        <v>500</v>
      </c>
      <c r="B254" t="s">
        <v>501</v>
      </c>
      <c r="D254" s="1">
        <v>45457</v>
      </c>
      <c r="I254" t="e">
        <f>VLOOKUP('E-impôts'!A254,Feuil2!$A$1:$AA$298,5,0)</f>
        <v>#N/A</v>
      </c>
    </row>
    <row r="255" spans="1:16">
      <c r="A255" t="s">
        <v>502</v>
      </c>
      <c r="B255" t="s">
        <v>503</v>
      </c>
      <c r="D255" s="1">
        <v>44952</v>
      </c>
      <c r="I255" t="e">
        <f>VLOOKUP('E-impôts'!A255,Feuil2!$A$1:$AA$298,5,0)</f>
        <v>#N/A</v>
      </c>
    </row>
    <row r="256" spans="1:16">
      <c r="A256" t="s">
        <v>504</v>
      </c>
      <c r="B256" t="s">
        <v>505</v>
      </c>
      <c r="C256" t="s">
        <v>2080</v>
      </c>
      <c r="D256" s="1">
        <v>43479</v>
      </c>
      <c r="E256" t="s">
        <v>715</v>
      </c>
      <c r="F256" t="s">
        <v>713</v>
      </c>
      <c r="G256" t="s">
        <v>677</v>
      </c>
      <c r="H256" t="s">
        <v>676</v>
      </c>
      <c r="I256" t="s">
        <v>505</v>
      </c>
      <c r="J256">
        <v>707435252</v>
      </c>
      <c r="K256" t="s">
        <v>715</v>
      </c>
      <c r="L256" t="s">
        <v>678</v>
      </c>
      <c r="M256" t="s">
        <v>672</v>
      </c>
      <c r="N256" t="s">
        <v>672</v>
      </c>
      <c r="O256" t="s">
        <v>2392</v>
      </c>
      <c r="P256" t="s">
        <v>672</v>
      </c>
    </row>
    <row r="257" spans="1:16">
      <c r="A257" t="s">
        <v>506</v>
      </c>
      <c r="B257" t="s">
        <v>507</v>
      </c>
      <c r="C257" t="s">
        <v>2080</v>
      </c>
      <c r="D257" s="1">
        <v>44111</v>
      </c>
      <c r="E257" t="s">
        <v>797</v>
      </c>
      <c r="F257" t="s">
        <v>795</v>
      </c>
      <c r="G257" t="s">
        <v>677</v>
      </c>
      <c r="H257" t="s">
        <v>704</v>
      </c>
      <c r="I257" t="s">
        <v>2390</v>
      </c>
      <c r="J257">
        <v>779190538</v>
      </c>
      <c r="K257" t="s">
        <v>797</v>
      </c>
      <c r="L257" t="s">
        <v>798</v>
      </c>
      <c r="M257" t="s">
        <v>672</v>
      </c>
      <c r="N257" t="s">
        <v>672</v>
      </c>
      <c r="O257" t="s">
        <v>2391</v>
      </c>
      <c r="P257" t="s">
        <v>672</v>
      </c>
    </row>
    <row r="258" spans="1:16">
      <c r="A258" t="s">
        <v>508</v>
      </c>
      <c r="B258" t="s">
        <v>509</v>
      </c>
      <c r="C258" t="s">
        <v>2080</v>
      </c>
      <c r="D258" s="1">
        <v>44704</v>
      </c>
      <c r="E258" t="s">
        <v>857</v>
      </c>
      <c r="F258" t="s">
        <v>855</v>
      </c>
      <c r="G258" t="s">
        <v>677</v>
      </c>
      <c r="H258" t="s">
        <v>704</v>
      </c>
      <c r="I258" t="str">
        <f>VLOOKUP('E-impôts'!A258,Feuil2!$A$1:$AA$298,5,0)</f>
        <v>NULL</v>
      </c>
      <c r="J258">
        <v>707578383</v>
      </c>
      <c r="K258" t="s">
        <v>857</v>
      </c>
      <c r="L258" t="s">
        <v>705</v>
      </c>
      <c r="M258" t="s">
        <v>672</v>
      </c>
      <c r="N258" t="s">
        <v>672</v>
      </c>
      <c r="O258" t="s">
        <v>672</v>
      </c>
      <c r="P258" t="s">
        <v>672</v>
      </c>
    </row>
    <row r="259" spans="1:16">
      <c r="A259" t="s">
        <v>510</v>
      </c>
      <c r="B259" t="s">
        <v>511</v>
      </c>
      <c r="D259" s="1">
        <v>45457</v>
      </c>
      <c r="I259" t="e">
        <f>VLOOKUP('E-impôts'!A259,Feuil2!$A$1:$AA$298,5,0)</f>
        <v>#N/A</v>
      </c>
    </row>
    <row r="260" spans="1:16">
      <c r="A260" t="s">
        <v>512</v>
      </c>
      <c r="B260" t="s">
        <v>513</v>
      </c>
      <c r="C260" t="s">
        <v>2083</v>
      </c>
      <c r="D260" s="1">
        <v>44589</v>
      </c>
      <c r="E260" t="s">
        <v>1084</v>
      </c>
      <c r="F260" t="s">
        <v>1082</v>
      </c>
      <c r="G260" t="s">
        <v>677</v>
      </c>
      <c r="H260" t="s">
        <v>704</v>
      </c>
      <c r="I260" t="str">
        <f>VLOOKUP('E-impôts'!A260,Feuil2!$A$1:$AA$298,5,0)</f>
        <v>NULL</v>
      </c>
      <c r="J260">
        <v>555800500</v>
      </c>
      <c r="K260" t="s">
        <v>1084</v>
      </c>
      <c r="L260" t="s">
        <v>692</v>
      </c>
      <c r="M260" t="s">
        <v>672</v>
      </c>
      <c r="N260" t="s">
        <v>672</v>
      </c>
      <c r="O260" t="s">
        <v>672</v>
      </c>
      <c r="P260" t="s">
        <v>672</v>
      </c>
    </row>
    <row r="261" spans="1:16">
      <c r="A261" t="s">
        <v>514</v>
      </c>
      <c r="B261" t="s">
        <v>515</v>
      </c>
      <c r="C261" t="s">
        <v>2080</v>
      </c>
      <c r="D261" s="1">
        <v>43479</v>
      </c>
      <c r="E261" t="s">
        <v>749</v>
      </c>
      <c r="F261" t="s">
        <v>747</v>
      </c>
      <c r="G261" t="s">
        <v>677</v>
      </c>
      <c r="H261" t="s">
        <v>676</v>
      </c>
      <c r="I261" t="s">
        <v>515</v>
      </c>
      <c r="J261">
        <v>505050371</v>
      </c>
      <c r="K261" t="s">
        <v>749</v>
      </c>
      <c r="L261" t="s">
        <v>750</v>
      </c>
      <c r="M261" t="s">
        <v>672</v>
      </c>
      <c r="N261" t="s">
        <v>672</v>
      </c>
      <c r="O261" t="s">
        <v>2388</v>
      </c>
      <c r="P261" t="s">
        <v>672</v>
      </c>
    </row>
    <row r="262" spans="1:16">
      <c r="A262" t="s">
        <v>516</v>
      </c>
      <c r="B262" t="s">
        <v>517</v>
      </c>
      <c r="C262" t="s">
        <v>2080</v>
      </c>
      <c r="D262" s="1">
        <v>43479</v>
      </c>
      <c r="E262" t="s">
        <v>754</v>
      </c>
      <c r="F262" t="s">
        <v>752</v>
      </c>
      <c r="G262" t="s">
        <v>677</v>
      </c>
      <c r="H262" t="s">
        <v>676</v>
      </c>
      <c r="I262" t="s">
        <v>517</v>
      </c>
      <c r="J262">
        <v>779941955</v>
      </c>
      <c r="K262" t="s">
        <v>754</v>
      </c>
      <c r="L262" t="s">
        <v>750</v>
      </c>
      <c r="M262" t="s">
        <v>672</v>
      </c>
      <c r="N262" t="s">
        <v>672</v>
      </c>
      <c r="O262" t="s">
        <v>2389</v>
      </c>
      <c r="P262" t="s">
        <v>672</v>
      </c>
    </row>
    <row r="263" spans="1:16">
      <c r="A263" t="s">
        <v>518</v>
      </c>
      <c r="B263" t="s">
        <v>519</v>
      </c>
      <c r="C263" t="s">
        <v>2084</v>
      </c>
      <c r="D263" s="1">
        <v>44589</v>
      </c>
      <c r="E263" t="s">
        <v>1781</v>
      </c>
      <c r="F263" t="s">
        <v>788</v>
      </c>
      <c r="G263" t="s">
        <v>677</v>
      </c>
      <c r="H263" t="s">
        <v>704</v>
      </c>
      <c r="I263" t="str">
        <f>VLOOKUP('E-impôts'!A263,Feuil2!$A$1:$AA$298,5,0)</f>
        <v>AIME MOH PAUL ARTHUR</v>
      </c>
      <c r="J263">
        <v>707742222</v>
      </c>
      <c r="K263" t="s">
        <v>1781</v>
      </c>
      <c r="L263" t="s">
        <v>1222</v>
      </c>
      <c r="M263" t="s">
        <v>1783</v>
      </c>
      <c r="N263">
        <v>382</v>
      </c>
      <c r="O263" t="s">
        <v>1784</v>
      </c>
      <c r="P263">
        <v>1000000</v>
      </c>
    </row>
    <row r="264" spans="1:16">
      <c r="A264" t="s">
        <v>520</v>
      </c>
      <c r="B264" t="s">
        <v>521</v>
      </c>
      <c r="C264" t="s">
        <v>2084</v>
      </c>
      <c r="D264" s="1">
        <v>43905</v>
      </c>
      <c r="E264" t="s">
        <v>1141</v>
      </c>
      <c r="F264" t="s">
        <v>1139</v>
      </c>
      <c r="G264" t="s">
        <v>677</v>
      </c>
      <c r="H264" t="s">
        <v>704</v>
      </c>
      <c r="I264" t="str">
        <f>VLOOKUP('E-impôts'!A264,Feuil2!$A$1:$AA$298,5,0)</f>
        <v>NULL</v>
      </c>
      <c r="J264">
        <v>777746950</v>
      </c>
      <c r="K264" t="s">
        <v>1141</v>
      </c>
      <c r="L264" t="s">
        <v>798</v>
      </c>
      <c r="M264" t="s">
        <v>672</v>
      </c>
      <c r="N264" t="s">
        <v>672</v>
      </c>
      <c r="O264" t="s">
        <v>672</v>
      </c>
      <c r="P264" t="s">
        <v>672</v>
      </c>
    </row>
    <row r="265" spans="1:16">
      <c r="A265" t="s">
        <v>522</v>
      </c>
      <c r="B265" t="s">
        <v>523</v>
      </c>
      <c r="D265" s="1">
        <v>44580</v>
      </c>
      <c r="I265" t="e">
        <f>VLOOKUP('E-impôts'!A265,Feuil2!$A$1:$AA$298,5,0)</f>
        <v>#N/A</v>
      </c>
    </row>
    <row r="266" spans="1:16">
      <c r="A266" t="s">
        <v>524</v>
      </c>
      <c r="B266" t="s">
        <v>525</v>
      </c>
      <c r="D266" s="1">
        <v>44953</v>
      </c>
      <c r="I266" t="e">
        <f>VLOOKUP('E-impôts'!A266,Feuil2!$A$1:$AA$298,5,0)</f>
        <v>#N/A</v>
      </c>
    </row>
    <row r="267" spans="1:16">
      <c r="A267" t="s">
        <v>526</v>
      </c>
      <c r="B267" t="s">
        <v>527</v>
      </c>
      <c r="D267" s="1">
        <v>44224</v>
      </c>
      <c r="I267" t="e">
        <f>VLOOKUP('E-impôts'!A267,Feuil2!$A$1:$AA$298,5,0)</f>
        <v>#N/A</v>
      </c>
    </row>
    <row r="268" spans="1:16">
      <c r="A268" t="s">
        <v>528</v>
      </c>
      <c r="B268" t="s">
        <v>529</v>
      </c>
      <c r="C268" t="s">
        <v>2081</v>
      </c>
      <c r="D268" s="1">
        <v>44588</v>
      </c>
      <c r="E268" t="s">
        <v>1022</v>
      </c>
      <c r="F268" t="s">
        <v>788</v>
      </c>
      <c r="G268" t="s">
        <v>677</v>
      </c>
      <c r="H268" t="s">
        <v>704</v>
      </c>
      <c r="I268">
        <f>VLOOKUP('E-impôts'!A268,Feuil2!$A$1:$AA$298,5,0)</f>
        <v>0</v>
      </c>
      <c r="J268">
        <v>768713339</v>
      </c>
      <c r="K268" t="s">
        <v>1022</v>
      </c>
      <c r="L268" t="s">
        <v>742</v>
      </c>
      <c r="N268" t="s">
        <v>672</v>
      </c>
      <c r="P268" t="s">
        <v>672</v>
      </c>
    </row>
    <row r="269" spans="1:16">
      <c r="A269" t="s">
        <v>530</v>
      </c>
      <c r="B269" t="s">
        <v>531</v>
      </c>
      <c r="C269" t="s">
        <v>2080</v>
      </c>
      <c r="D269" s="1">
        <v>43479</v>
      </c>
      <c r="E269" t="s">
        <v>745</v>
      </c>
      <c r="F269" t="s">
        <v>743</v>
      </c>
      <c r="G269" t="s">
        <v>712</v>
      </c>
      <c r="H269" t="s">
        <v>704</v>
      </c>
      <c r="I269" t="str">
        <f>VLOOKUP('E-impôts'!A269,Feuil2!$A$1:$AA$298,5,0)</f>
        <v>NULL</v>
      </c>
      <c r="J269">
        <v>757893651</v>
      </c>
      <c r="K269" t="s">
        <v>745</v>
      </c>
      <c r="L269" t="s">
        <v>746</v>
      </c>
      <c r="M269" t="s">
        <v>672</v>
      </c>
      <c r="N269" t="s">
        <v>672</v>
      </c>
      <c r="O269" t="s">
        <v>672</v>
      </c>
      <c r="P269" t="s">
        <v>672</v>
      </c>
    </row>
    <row r="270" spans="1:16">
      <c r="A270" t="s">
        <v>530</v>
      </c>
      <c r="B270" t="s">
        <v>531</v>
      </c>
      <c r="C270" t="s">
        <v>2080</v>
      </c>
      <c r="D270" s="1">
        <v>43479</v>
      </c>
      <c r="E270" t="s">
        <v>745</v>
      </c>
      <c r="F270" t="s">
        <v>743</v>
      </c>
      <c r="G270" t="s">
        <v>712</v>
      </c>
      <c r="H270" t="s">
        <v>704</v>
      </c>
      <c r="I270" t="str">
        <f>VLOOKUP('E-impôts'!A270,Feuil2!$A$1:$AA$298,5,0)</f>
        <v>NULL</v>
      </c>
      <c r="J270">
        <v>757893651</v>
      </c>
      <c r="K270" t="s">
        <v>745</v>
      </c>
      <c r="L270" t="s">
        <v>746</v>
      </c>
      <c r="M270" t="s">
        <v>672</v>
      </c>
      <c r="N270" t="s">
        <v>672</v>
      </c>
      <c r="O270" t="s">
        <v>672</v>
      </c>
      <c r="P270" t="s">
        <v>672</v>
      </c>
    </row>
    <row r="271" spans="1:16">
      <c r="A271" t="s">
        <v>532</v>
      </c>
      <c r="B271" t="s">
        <v>533</v>
      </c>
      <c r="C271" t="s">
        <v>2080</v>
      </c>
      <c r="D271" s="1">
        <v>44944</v>
      </c>
      <c r="E271" t="s">
        <v>1427</v>
      </c>
      <c r="F271" t="s">
        <v>1425</v>
      </c>
      <c r="G271" t="s">
        <v>677</v>
      </c>
      <c r="H271" t="s">
        <v>704</v>
      </c>
      <c r="I271" t="str">
        <f>VLOOKUP('E-impôts'!A271,Feuil2!$A$1:$AA$298,5,0)</f>
        <v xml:space="preserve">HONDE MICHEL </v>
      </c>
      <c r="J271">
        <v>707095788</v>
      </c>
      <c r="K271" t="s">
        <v>1427</v>
      </c>
      <c r="L271" t="s">
        <v>692</v>
      </c>
      <c r="M271" t="s">
        <v>672</v>
      </c>
      <c r="N271" t="s">
        <v>672</v>
      </c>
      <c r="O271" t="s">
        <v>2410</v>
      </c>
      <c r="P271">
        <v>1000000</v>
      </c>
    </row>
    <row r="272" spans="1:16">
      <c r="A272" t="s">
        <v>534</v>
      </c>
      <c r="B272" t="s">
        <v>535</v>
      </c>
      <c r="D272" s="1">
        <v>44704</v>
      </c>
      <c r="I272" t="e">
        <f>VLOOKUP('E-impôts'!A272,Feuil2!$A$1:$AA$298,5,0)</f>
        <v>#N/A</v>
      </c>
    </row>
    <row r="273" spans="1:16">
      <c r="A273" t="s">
        <v>536</v>
      </c>
      <c r="B273" t="s">
        <v>537</v>
      </c>
      <c r="D273" s="1">
        <v>44224</v>
      </c>
      <c r="I273" t="e">
        <f>VLOOKUP('E-impôts'!A273,Feuil2!$A$1:$AA$298,5,0)</f>
        <v>#N/A</v>
      </c>
    </row>
    <row r="274" spans="1:16">
      <c r="A274" t="s">
        <v>538</v>
      </c>
      <c r="B274" t="s">
        <v>539</v>
      </c>
      <c r="C274" t="s">
        <v>2081</v>
      </c>
      <c r="D274" s="1">
        <v>44953</v>
      </c>
      <c r="E274" t="s">
        <v>987</v>
      </c>
      <c r="F274" t="s">
        <v>872</v>
      </c>
      <c r="G274" t="s">
        <v>677</v>
      </c>
      <c r="H274" t="s">
        <v>704</v>
      </c>
      <c r="I274" t="str">
        <f>VLOOKUP('E-impôts'!A274,Feuil2!$A$1:$AA$298,5,0)</f>
        <v>NULL</v>
      </c>
      <c r="J274">
        <v>708757335</v>
      </c>
      <c r="K274" t="s">
        <v>987</v>
      </c>
      <c r="L274" t="s">
        <v>798</v>
      </c>
      <c r="M274" t="s">
        <v>672</v>
      </c>
      <c r="N274" t="s">
        <v>672</v>
      </c>
      <c r="O274" t="s">
        <v>672</v>
      </c>
      <c r="P274" t="s">
        <v>672</v>
      </c>
    </row>
    <row r="275" spans="1:16">
      <c r="A275" t="s">
        <v>540</v>
      </c>
      <c r="B275" t="s">
        <v>541</v>
      </c>
      <c r="C275" t="s">
        <v>2080</v>
      </c>
      <c r="D275" s="1">
        <v>45309</v>
      </c>
      <c r="E275" t="s">
        <v>1358</v>
      </c>
      <c r="F275" t="s">
        <v>1355</v>
      </c>
      <c r="G275" t="s">
        <v>677</v>
      </c>
      <c r="H275" t="s">
        <v>1078</v>
      </c>
      <c r="I275" t="str">
        <f>VLOOKUP('E-impôts'!A275,Feuil2!$A$1:$AA$298,5,0)</f>
        <v>Manou Epouse Messe Legga Elisabeth</v>
      </c>
      <c r="J275">
        <v>708275908</v>
      </c>
      <c r="K275" t="s">
        <v>1358</v>
      </c>
      <c r="L275" t="s">
        <v>746</v>
      </c>
      <c r="M275" t="s">
        <v>681</v>
      </c>
      <c r="N275" t="s">
        <v>681</v>
      </c>
      <c r="O275" t="s">
        <v>2384</v>
      </c>
      <c r="P275">
        <v>300000</v>
      </c>
    </row>
    <row r="276" spans="1:16">
      <c r="A276" t="s">
        <v>542</v>
      </c>
      <c r="B276" t="s">
        <v>543</v>
      </c>
      <c r="D276" s="1">
        <v>43479</v>
      </c>
      <c r="I276" t="e">
        <f>VLOOKUP('E-impôts'!A276,Feuil2!$A$1:$AA$298,5,0)</f>
        <v>#N/A</v>
      </c>
    </row>
    <row r="277" spans="1:16">
      <c r="A277" t="s">
        <v>544</v>
      </c>
      <c r="B277" t="s">
        <v>545</v>
      </c>
      <c r="D277" s="1">
        <v>43871</v>
      </c>
      <c r="I277" t="e">
        <f>VLOOKUP('E-impôts'!A277,Feuil2!$A$1:$AA$298,5,0)</f>
        <v>#N/A</v>
      </c>
    </row>
    <row r="278" spans="1:16">
      <c r="A278" t="s">
        <v>546</v>
      </c>
      <c r="B278" t="s">
        <v>547</v>
      </c>
      <c r="C278" t="s">
        <v>2081</v>
      </c>
      <c r="D278" s="1">
        <v>44589</v>
      </c>
      <c r="E278" t="s">
        <v>1036</v>
      </c>
      <c r="F278" t="s">
        <v>1034</v>
      </c>
      <c r="G278" t="s">
        <v>677</v>
      </c>
      <c r="H278" t="s">
        <v>704</v>
      </c>
      <c r="I278" t="str">
        <f>VLOOKUP('E-impôts'!A278,Feuil2!$A$1:$AA$298,5,0)</f>
        <v>NULL</v>
      </c>
      <c r="J278">
        <v>777973637</v>
      </c>
      <c r="K278" t="s">
        <v>1036</v>
      </c>
      <c r="L278" t="s">
        <v>942</v>
      </c>
      <c r="M278" t="s">
        <v>672</v>
      </c>
      <c r="N278" t="s">
        <v>672</v>
      </c>
      <c r="O278" t="s">
        <v>672</v>
      </c>
      <c r="P278" t="s">
        <v>672</v>
      </c>
    </row>
    <row r="279" spans="1:16">
      <c r="A279" t="s">
        <v>548</v>
      </c>
      <c r="B279" t="s">
        <v>549</v>
      </c>
      <c r="D279" s="1">
        <v>43851</v>
      </c>
      <c r="I279" t="e">
        <f>VLOOKUP('E-impôts'!A279,Feuil2!$A$1:$AA$298,5,0)</f>
        <v>#N/A</v>
      </c>
    </row>
    <row r="280" spans="1:16">
      <c r="A280" t="s">
        <v>550</v>
      </c>
      <c r="B280" t="s">
        <v>551</v>
      </c>
      <c r="C280" t="s">
        <v>2081</v>
      </c>
      <c r="D280" s="1">
        <v>44592</v>
      </c>
      <c r="E280" t="s">
        <v>1014</v>
      </c>
      <c r="F280" t="s">
        <v>959</v>
      </c>
      <c r="G280" t="s">
        <v>677</v>
      </c>
      <c r="H280" t="s">
        <v>704</v>
      </c>
      <c r="I280" t="str">
        <f>VLOOKUP('E-impôts'!A280,Feuil2!$A$1:$AA$298,5,0)</f>
        <v>NULL</v>
      </c>
      <c r="J280">
        <v>505893050</v>
      </c>
      <c r="K280" t="s">
        <v>1014</v>
      </c>
      <c r="L280" t="s">
        <v>942</v>
      </c>
      <c r="M280" t="s">
        <v>672</v>
      </c>
      <c r="N280" t="s">
        <v>672</v>
      </c>
      <c r="O280" t="s">
        <v>672</v>
      </c>
      <c r="P280" t="s">
        <v>672</v>
      </c>
    </row>
    <row r="281" spans="1:16">
      <c r="A281" t="s">
        <v>552</v>
      </c>
      <c r="B281" t="s">
        <v>553</v>
      </c>
      <c r="D281" s="1">
        <v>43859</v>
      </c>
      <c r="I281" t="e">
        <f>VLOOKUP('E-impôts'!A281,Feuil2!$A$1:$AA$298,5,0)</f>
        <v>#N/A</v>
      </c>
    </row>
    <row r="282" spans="1:16">
      <c r="A282" t="s">
        <v>554</v>
      </c>
      <c r="B282" t="s">
        <v>555</v>
      </c>
      <c r="C282" t="s">
        <v>2080</v>
      </c>
      <c r="D282" s="1">
        <v>44197</v>
      </c>
      <c r="E282" t="s">
        <v>814</v>
      </c>
      <c r="F282" t="s">
        <v>770</v>
      </c>
      <c r="G282" t="s">
        <v>677</v>
      </c>
      <c r="H282" t="s">
        <v>704</v>
      </c>
      <c r="I282" t="str">
        <f>VLOOKUP('E-impôts'!A282,Feuil2!$A$1:$AA$298,5,0)</f>
        <v>DANHI HENRY DELPHIN</v>
      </c>
      <c r="J282">
        <v>2722594787</v>
      </c>
      <c r="K282" t="s">
        <v>814</v>
      </c>
      <c r="L282" t="s">
        <v>687</v>
      </c>
      <c r="M282" t="s">
        <v>775</v>
      </c>
      <c r="O282" t="s">
        <v>2387</v>
      </c>
      <c r="P282">
        <v>1000000</v>
      </c>
    </row>
    <row r="283" spans="1:16">
      <c r="A283" t="s">
        <v>556</v>
      </c>
      <c r="B283" t="s">
        <v>557</v>
      </c>
      <c r="C283" t="s">
        <v>2081</v>
      </c>
      <c r="D283" s="1">
        <v>44589</v>
      </c>
      <c r="E283" t="s">
        <v>1026</v>
      </c>
      <c r="F283" t="s">
        <v>1024</v>
      </c>
      <c r="G283" t="s">
        <v>677</v>
      </c>
      <c r="H283" t="s">
        <v>704</v>
      </c>
      <c r="I283" t="str">
        <f>VLOOKUP('E-impôts'!A283,Feuil2!$A$1:$AA$298,5,0)</f>
        <v>NULL</v>
      </c>
      <c r="J283">
        <v>777237255</v>
      </c>
      <c r="K283" t="s">
        <v>1026</v>
      </c>
      <c r="L283" t="s">
        <v>942</v>
      </c>
      <c r="M283" t="s">
        <v>672</v>
      </c>
      <c r="N283" t="s">
        <v>672</v>
      </c>
      <c r="O283" t="s">
        <v>672</v>
      </c>
      <c r="P283" t="s">
        <v>672</v>
      </c>
    </row>
    <row r="284" spans="1:16">
      <c r="A284" t="s">
        <v>558</v>
      </c>
      <c r="B284" t="s">
        <v>559</v>
      </c>
      <c r="C284" t="s">
        <v>2081</v>
      </c>
      <c r="D284" s="1">
        <v>44953</v>
      </c>
      <c r="E284" t="s">
        <v>967</v>
      </c>
      <c r="F284" t="s">
        <v>965</v>
      </c>
      <c r="G284" t="s">
        <v>677</v>
      </c>
      <c r="H284" t="s">
        <v>704</v>
      </c>
      <c r="I284" t="str">
        <f>VLOOKUP('E-impôts'!A284,Feuil2!$A$1:$AA$298,5,0)</f>
        <v>NULL</v>
      </c>
      <c r="J284">
        <v>709340500</v>
      </c>
      <c r="K284" t="s">
        <v>967</v>
      </c>
      <c r="L284" t="s">
        <v>750</v>
      </c>
      <c r="M284" t="s">
        <v>672</v>
      </c>
      <c r="N284" t="s">
        <v>672</v>
      </c>
      <c r="O284" t="s">
        <v>672</v>
      </c>
      <c r="P284" t="s">
        <v>672</v>
      </c>
    </row>
    <row r="285" spans="1:16">
      <c r="A285" t="s">
        <v>560</v>
      </c>
      <c r="B285" t="s">
        <v>561</v>
      </c>
      <c r="C285" t="s">
        <v>2080</v>
      </c>
      <c r="D285" s="1">
        <v>44957</v>
      </c>
      <c r="E285" t="s">
        <v>1740</v>
      </c>
      <c r="F285" t="s">
        <v>1737</v>
      </c>
      <c r="G285" t="s">
        <v>677</v>
      </c>
      <c r="H285" t="s">
        <v>704</v>
      </c>
      <c r="I285" t="str">
        <f>VLOOKUP('E-impôts'!A285,Feuil2!$A$1:$AA$298,5,0)</f>
        <v>NULL</v>
      </c>
      <c r="J285">
        <v>747343451</v>
      </c>
      <c r="K285" t="s">
        <v>1740</v>
      </c>
      <c r="L285" t="s">
        <v>834</v>
      </c>
      <c r="M285" t="s">
        <v>1742</v>
      </c>
      <c r="N285">
        <v>155</v>
      </c>
      <c r="O285" t="s">
        <v>1743</v>
      </c>
      <c r="P285">
        <v>5000000</v>
      </c>
    </row>
    <row r="286" spans="1:16">
      <c r="A286" t="s">
        <v>562</v>
      </c>
      <c r="B286" t="s">
        <v>563</v>
      </c>
      <c r="C286" t="s">
        <v>2086</v>
      </c>
      <c r="D286" s="1">
        <v>44592</v>
      </c>
      <c r="E286" t="s">
        <v>1272</v>
      </c>
      <c r="F286" t="s">
        <v>1270</v>
      </c>
      <c r="G286" t="s">
        <v>677</v>
      </c>
      <c r="H286" t="s">
        <v>704</v>
      </c>
      <c r="I286" t="str">
        <f>VLOOKUP('E-impôts'!A286,Feuil2!$A$1:$AA$298,5,0)</f>
        <v>NULL</v>
      </c>
      <c r="J286">
        <v>709092954</v>
      </c>
      <c r="K286" t="s">
        <v>1272</v>
      </c>
      <c r="L286" t="s">
        <v>678</v>
      </c>
      <c r="M286" t="s">
        <v>672</v>
      </c>
      <c r="N286" t="s">
        <v>672</v>
      </c>
      <c r="O286" t="s">
        <v>672</v>
      </c>
      <c r="P286" t="s">
        <v>672</v>
      </c>
    </row>
    <row r="287" spans="1:16">
      <c r="A287" t="s">
        <v>564</v>
      </c>
      <c r="B287" t="s">
        <v>565</v>
      </c>
      <c r="C287" t="s">
        <v>2086</v>
      </c>
      <c r="D287" s="1">
        <v>44592</v>
      </c>
      <c r="E287" t="s">
        <v>1275</v>
      </c>
      <c r="F287" t="s">
        <v>828</v>
      </c>
      <c r="G287" t="s">
        <v>677</v>
      </c>
      <c r="H287" t="s">
        <v>704</v>
      </c>
      <c r="I287" t="str">
        <f>VLOOKUP('E-impôts'!A287,Feuil2!$A$1:$AA$298,5,0)</f>
        <v>NULL</v>
      </c>
      <c r="J287">
        <v>709892954</v>
      </c>
      <c r="K287" t="s">
        <v>1275</v>
      </c>
      <c r="L287" t="s">
        <v>678</v>
      </c>
      <c r="M287" t="s">
        <v>672</v>
      </c>
      <c r="N287" t="s">
        <v>672</v>
      </c>
      <c r="O287" t="s">
        <v>672</v>
      </c>
      <c r="P287" t="s">
        <v>672</v>
      </c>
    </row>
    <row r="288" spans="1:16">
      <c r="A288" t="s">
        <v>566</v>
      </c>
      <c r="B288" t="s">
        <v>567</v>
      </c>
      <c r="C288" t="s">
        <v>2085</v>
      </c>
      <c r="D288" s="1">
        <v>44592</v>
      </c>
      <c r="E288" t="s">
        <v>1125</v>
      </c>
      <c r="F288" t="s">
        <v>1123</v>
      </c>
      <c r="G288" t="s">
        <v>677</v>
      </c>
      <c r="H288" t="s">
        <v>704</v>
      </c>
      <c r="I288" t="str">
        <f>VLOOKUP('E-impôts'!A288,Feuil2!$A$1:$AA$298,5,0)</f>
        <v>NULL</v>
      </c>
      <c r="J288">
        <v>747417993</v>
      </c>
      <c r="K288" t="s">
        <v>1125</v>
      </c>
      <c r="L288" t="s">
        <v>705</v>
      </c>
      <c r="M288" t="s">
        <v>672</v>
      </c>
      <c r="N288" t="s">
        <v>672</v>
      </c>
      <c r="O288" t="s">
        <v>672</v>
      </c>
      <c r="P288" t="s">
        <v>672</v>
      </c>
    </row>
    <row r="289" spans="1:16">
      <c r="A289" t="s">
        <v>568</v>
      </c>
      <c r="B289" t="s">
        <v>569</v>
      </c>
      <c r="C289" t="s">
        <v>2084</v>
      </c>
      <c r="D289" s="1">
        <v>44589</v>
      </c>
      <c r="E289" t="s">
        <v>1774</v>
      </c>
      <c r="F289" t="s">
        <v>788</v>
      </c>
      <c r="G289" t="s">
        <v>712</v>
      </c>
      <c r="H289" t="s">
        <v>704</v>
      </c>
      <c r="I289" t="str">
        <f>VLOOKUP('E-impôts'!A289,Feuil2!$A$1:$AA$298,5,0)</f>
        <v>ZOGBO PHA EPSE ASSOUMOU</v>
      </c>
      <c r="J289">
        <v>708473838</v>
      </c>
      <c r="K289" t="s">
        <v>1774</v>
      </c>
      <c r="L289" t="s">
        <v>1222</v>
      </c>
      <c r="M289" t="s">
        <v>1770</v>
      </c>
      <c r="N289">
        <v>147</v>
      </c>
      <c r="O289" t="s">
        <v>1776</v>
      </c>
      <c r="P289">
        <v>1000000</v>
      </c>
    </row>
    <row r="290" spans="1:16">
      <c r="A290" t="s">
        <v>570</v>
      </c>
      <c r="B290" t="s">
        <v>571</v>
      </c>
      <c r="D290" s="1">
        <v>44614</v>
      </c>
      <c r="I290" t="e">
        <f>VLOOKUP('E-impôts'!A290,Feuil2!$A$1:$AA$298,5,0)</f>
        <v>#N/A</v>
      </c>
    </row>
    <row r="291" spans="1:16">
      <c r="A291" t="s">
        <v>572</v>
      </c>
      <c r="B291" t="s">
        <v>573</v>
      </c>
      <c r="C291" t="s">
        <v>2084</v>
      </c>
      <c r="D291" s="1">
        <v>44532</v>
      </c>
      <c r="E291" t="s">
        <v>1865</v>
      </c>
      <c r="F291" t="s">
        <v>673</v>
      </c>
      <c r="G291" t="s">
        <v>677</v>
      </c>
      <c r="H291" t="s">
        <v>676</v>
      </c>
      <c r="I291" t="str">
        <f>VLOOKUP('E-impôts'!A291,Feuil2!$A$1:$AA$298,5,0)</f>
        <v xml:space="preserve">BAKAYOKO LOSSENI </v>
      </c>
      <c r="J291">
        <v>2722438248</v>
      </c>
      <c r="K291" t="s">
        <v>1865</v>
      </c>
      <c r="L291" t="s">
        <v>1869</v>
      </c>
      <c r="M291" t="s">
        <v>1867</v>
      </c>
      <c r="N291" t="s">
        <v>1868</v>
      </c>
      <c r="O291" t="s">
        <v>1870</v>
      </c>
      <c r="P291">
        <v>1000000</v>
      </c>
    </row>
    <row r="292" spans="1:16">
      <c r="A292" t="s">
        <v>574</v>
      </c>
      <c r="B292" t="s">
        <v>575</v>
      </c>
      <c r="D292" s="1">
        <v>44224</v>
      </c>
      <c r="I292" t="e">
        <f>VLOOKUP('E-impôts'!A292,Feuil2!$A$1:$AA$298,5,0)</f>
        <v>#N/A</v>
      </c>
    </row>
    <row r="293" spans="1:16">
      <c r="A293" t="s">
        <v>576</v>
      </c>
      <c r="B293" t="s">
        <v>577</v>
      </c>
      <c r="C293" t="s">
        <v>2086</v>
      </c>
      <c r="D293" s="1">
        <v>44949</v>
      </c>
      <c r="E293" t="s">
        <v>1283</v>
      </c>
      <c r="F293" t="s">
        <v>1281</v>
      </c>
      <c r="G293" t="s">
        <v>677</v>
      </c>
      <c r="H293" t="s">
        <v>704</v>
      </c>
      <c r="I293" t="str">
        <f>VLOOKUP('E-impôts'!A293,Feuil2!$A$1:$AA$298,5,0)</f>
        <v>NULL</v>
      </c>
      <c r="J293">
        <v>708089498</v>
      </c>
      <c r="K293" t="s">
        <v>1283</v>
      </c>
      <c r="L293" t="s">
        <v>942</v>
      </c>
      <c r="M293" t="s">
        <v>672</v>
      </c>
      <c r="N293" t="s">
        <v>672</v>
      </c>
      <c r="O293" t="s">
        <v>672</v>
      </c>
      <c r="P293" t="s">
        <v>672</v>
      </c>
    </row>
    <row r="294" spans="1:16">
      <c r="A294" t="s">
        <v>578</v>
      </c>
      <c r="B294" t="s">
        <v>579</v>
      </c>
      <c r="D294" s="1">
        <v>44204</v>
      </c>
      <c r="I294" t="e">
        <f>VLOOKUP('E-impôts'!A294,Feuil2!$A$1:$AA$298,5,0)</f>
        <v>#N/A</v>
      </c>
    </row>
    <row r="295" spans="1:16">
      <c r="A295" t="s">
        <v>580</v>
      </c>
      <c r="B295" t="s">
        <v>581</v>
      </c>
      <c r="D295" s="1">
        <v>44205</v>
      </c>
      <c r="I295" t="e">
        <f>VLOOKUP('E-impôts'!A295,Feuil2!$A$1:$AA$298,5,0)</f>
        <v>#N/A</v>
      </c>
    </row>
    <row r="296" spans="1:16">
      <c r="A296" t="s">
        <v>582</v>
      </c>
      <c r="B296" t="s">
        <v>583</v>
      </c>
      <c r="C296" t="s">
        <v>2085</v>
      </c>
      <c r="D296" s="1">
        <v>45320</v>
      </c>
      <c r="E296" t="s">
        <v>1756</v>
      </c>
      <c r="F296" t="s">
        <v>1753</v>
      </c>
      <c r="G296" t="s">
        <v>677</v>
      </c>
      <c r="H296" t="s">
        <v>704</v>
      </c>
      <c r="I296" t="str">
        <f>VLOOKUP('E-impôts'!A296,Feuil2!$A$1:$AA$298,5,0)</f>
        <v>NIANKI N'GUESSAN THIERRY</v>
      </c>
      <c r="J296">
        <v>505544586</v>
      </c>
      <c r="K296" t="s">
        <v>1756</v>
      </c>
      <c r="L296" t="s">
        <v>1222</v>
      </c>
      <c r="M296" t="s">
        <v>672</v>
      </c>
      <c r="O296" t="s">
        <v>672</v>
      </c>
      <c r="P296">
        <v>1000000</v>
      </c>
    </row>
    <row r="297" spans="1:16">
      <c r="A297" t="s">
        <v>584</v>
      </c>
      <c r="B297" t="s">
        <v>585</v>
      </c>
      <c r="D297" s="1">
        <v>44224</v>
      </c>
      <c r="I297" t="e">
        <f>VLOOKUP('E-impôts'!A297,Feuil2!$A$1:$AA$298,5,0)</f>
        <v>#N/A</v>
      </c>
    </row>
    <row r="298" spans="1:16">
      <c r="A298" t="s">
        <v>586</v>
      </c>
      <c r="B298" t="s">
        <v>587</v>
      </c>
      <c r="C298" t="s">
        <v>2080</v>
      </c>
      <c r="D298" s="1">
        <v>44957</v>
      </c>
      <c r="E298" t="s">
        <v>1734</v>
      </c>
      <c r="F298" t="s">
        <v>689</v>
      </c>
      <c r="G298" t="s">
        <v>677</v>
      </c>
      <c r="H298" t="s">
        <v>704</v>
      </c>
      <c r="I298" t="str">
        <f>VLOOKUP('E-impôts'!A298,Feuil2!$A$1:$AA$298,5,0)</f>
        <v>VONAN AMANGOUA GERVAIS</v>
      </c>
      <c r="J298">
        <v>757515428</v>
      </c>
      <c r="K298" t="s">
        <v>1734</v>
      </c>
      <c r="L298" t="s">
        <v>692</v>
      </c>
      <c r="M298" t="s">
        <v>1736</v>
      </c>
      <c r="N298">
        <v>44</v>
      </c>
      <c r="O298" t="s">
        <v>896</v>
      </c>
      <c r="P298">
        <v>1000000</v>
      </c>
    </row>
    <row r="299" spans="1:16">
      <c r="A299" t="s">
        <v>588</v>
      </c>
      <c r="B299" t="s">
        <v>589</v>
      </c>
      <c r="C299" t="s">
        <v>2083</v>
      </c>
      <c r="D299" s="1">
        <v>44589</v>
      </c>
      <c r="E299" t="s">
        <v>1066</v>
      </c>
      <c r="F299" t="s">
        <v>701</v>
      </c>
      <c r="G299" t="s">
        <v>677</v>
      </c>
      <c r="H299" t="s">
        <v>704</v>
      </c>
      <c r="I299" t="str">
        <f>VLOOKUP('E-impôts'!A299,Feuil2!$A$1:$AA$298,5,0)</f>
        <v>NULL</v>
      </c>
      <c r="J299">
        <v>709767690</v>
      </c>
      <c r="K299" t="s">
        <v>1066</v>
      </c>
      <c r="L299" t="s">
        <v>705</v>
      </c>
      <c r="M299" t="s">
        <v>672</v>
      </c>
      <c r="N299" t="s">
        <v>672</v>
      </c>
      <c r="O299" t="s">
        <v>672</v>
      </c>
      <c r="P299" t="s">
        <v>672</v>
      </c>
    </row>
    <row r="300" spans="1:16">
      <c r="A300" t="s">
        <v>590</v>
      </c>
      <c r="B300" t="s">
        <v>591</v>
      </c>
      <c r="C300" t="s">
        <v>2081</v>
      </c>
      <c r="D300" s="1">
        <v>44952</v>
      </c>
      <c r="E300" t="s">
        <v>961</v>
      </c>
      <c r="F300" t="s">
        <v>959</v>
      </c>
      <c r="G300" t="s">
        <v>677</v>
      </c>
      <c r="H300" t="s">
        <v>704</v>
      </c>
      <c r="I300" t="str">
        <f>VLOOKUP('E-impôts'!A300,Feuil2!$A$1:$AA$298,5,0)</f>
        <v>ASSANVO DJEDJOU FRANCK</v>
      </c>
      <c r="J300">
        <v>707719624</v>
      </c>
      <c r="K300" t="s">
        <v>961</v>
      </c>
      <c r="N300" t="s">
        <v>672</v>
      </c>
      <c r="P300" t="s">
        <v>672</v>
      </c>
    </row>
    <row r="301" spans="1:16">
      <c r="A301" t="s">
        <v>592</v>
      </c>
      <c r="B301" t="s">
        <v>593</v>
      </c>
      <c r="C301" t="s">
        <v>2081</v>
      </c>
      <c r="D301" s="1">
        <v>44953</v>
      </c>
      <c r="E301" t="s">
        <v>963</v>
      </c>
      <c r="F301" t="s">
        <v>939</v>
      </c>
      <c r="G301" t="s">
        <v>677</v>
      </c>
      <c r="H301" t="s">
        <v>704</v>
      </c>
      <c r="I301" t="str">
        <f>VLOOKUP('E-impôts'!A301,Feuil2!$A$1:$AA$298,5,0)</f>
        <v>NULL</v>
      </c>
      <c r="J301">
        <v>708410032</v>
      </c>
      <c r="K301" t="s">
        <v>963</v>
      </c>
      <c r="L301" t="s">
        <v>942</v>
      </c>
      <c r="M301" t="s">
        <v>672</v>
      </c>
      <c r="N301" t="s">
        <v>672</v>
      </c>
      <c r="O301" t="s">
        <v>672</v>
      </c>
      <c r="P301" t="s">
        <v>672</v>
      </c>
    </row>
    <row r="302" spans="1:16">
      <c r="A302" t="s">
        <v>594</v>
      </c>
      <c r="B302" t="s">
        <v>595</v>
      </c>
      <c r="C302" t="s">
        <v>2084</v>
      </c>
      <c r="D302" s="1">
        <v>44589</v>
      </c>
      <c r="E302" t="s">
        <v>1122</v>
      </c>
      <c r="F302" t="s">
        <v>1120</v>
      </c>
      <c r="G302" t="s">
        <v>712</v>
      </c>
      <c r="H302" t="s">
        <v>704</v>
      </c>
      <c r="I302" t="str">
        <f>VLOOKUP('E-impôts'!A302,Feuil2!$A$1:$AA$298,5,0)</f>
        <v>NULL</v>
      </c>
      <c r="J302">
        <v>506532640</v>
      </c>
      <c r="K302" t="s">
        <v>1122</v>
      </c>
      <c r="L302" t="s">
        <v>678</v>
      </c>
      <c r="M302" t="s">
        <v>672</v>
      </c>
      <c r="N302" t="s">
        <v>672</v>
      </c>
      <c r="O302" t="s">
        <v>672</v>
      </c>
      <c r="P302" t="s">
        <v>672</v>
      </c>
    </row>
    <row r="303" spans="1:16">
      <c r="A303" t="s">
        <v>596</v>
      </c>
      <c r="B303" t="s">
        <v>597</v>
      </c>
      <c r="C303" t="s">
        <v>2084</v>
      </c>
      <c r="D303" s="1">
        <v>43901</v>
      </c>
      <c r="E303" t="s">
        <v>1119</v>
      </c>
      <c r="F303" t="s">
        <v>1117</v>
      </c>
      <c r="G303" t="s">
        <v>677</v>
      </c>
      <c r="H303" t="s">
        <v>676</v>
      </c>
      <c r="I303" t="str">
        <f>VLOOKUP('E-impôts'!A303,Feuil2!$A$1:$AA$298,5,0)</f>
        <v>NULL</v>
      </c>
      <c r="J303">
        <v>707275282</v>
      </c>
      <c r="K303" t="s">
        <v>1119</v>
      </c>
      <c r="L303" t="s">
        <v>798</v>
      </c>
      <c r="M303" t="s">
        <v>672</v>
      </c>
      <c r="N303" t="s">
        <v>672</v>
      </c>
      <c r="O303" t="s">
        <v>672</v>
      </c>
      <c r="P303" t="s">
        <v>672</v>
      </c>
    </row>
    <row r="304" spans="1:16">
      <c r="A304" t="s">
        <v>598</v>
      </c>
      <c r="B304" t="s">
        <v>599</v>
      </c>
      <c r="C304" t="s">
        <v>2086</v>
      </c>
      <c r="D304" s="1">
        <v>44585</v>
      </c>
      <c r="E304" t="s">
        <v>1264</v>
      </c>
      <c r="F304" t="s">
        <v>1262</v>
      </c>
      <c r="G304" t="s">
        <v>677</v>
      </c>
      <c r="H304" t="s">
        <v>704</v>
      </c>
      <c r="I304" t="str">
        <f>VLOOKUP('E-impôts'!A304,Feuil2!$A$1:$AA$298,5,0)</f>
        <v>NULL</v>
      </c>
      <c r="J304">
        <v>707182026</v>
      </c>
      <c r="K304" t="s">
        <v>1264</v>
      </c>
      <c r="L304" t="s">
        <v>942</v>
      </c>
      <c r="M304" t="s">
        <v>672</v>
      </c>
      <c r="N304" t="s">
        <v>672</v>
      </c>
      <c r="O304" t="s">
        <v>672</v>
      </c>
      <c r="P304" t="s">
        <v>672</v>
      </c>
    </row>
    <row r="305" spans="1:16">
      <c r="A305" t="s">
        <v>600</v>
      </c>
      <c r="B305" t="s">
        <v>601</v>
      </c>
      <c r="C305" t="s">
        <v>2084</v>
      </c>
      <c r="D305" s="1">
        <v>44224</v>
      </c>
      <c r="E305" t="s">
        <v>1113</v>
      </c>
      <c r="F305" t="s">
        <v>1111</v>
      </c>
      <c r="G305" t="s">
        <v>677</v>
      </c>
      <c r="H305" t="s">
        <v>676</v>
      </c>
      <c r="I305" t="str">
        <f>VLOOKUP('E-impôts'!A305,Feuil2!$A$1:$AA$298,5,0)</f>
        <v>NULL</v>
      </c>
      <c r="J305">
        <v>707041477</v>
      </c>
      <c r="K305" t="s">
        <v>1113</v>
      </c>
      <c r="L305" t="s">
        <v>742</v>
      </c>
      <c r="M305" t="s">
        <v>672</v>
      </c>
      <c r="N305" t="s">
        <v>672</v>
      </c>
      <c r="O305" t="s">
        <v>672</v>
      </c>
      <c r="P305" t="s">
        <v>672</v>
      </c>
    </row>
    <row r="306" spans="1:16">
      <c r="A306" t="s">
        <v>602</v>
      </c>
      <c r="B306" t="s">
        <v>603</v>
      </c>
      <c r="C306" t="s">
        <v>2085</v>
      </c>
      <c r="D306" s="1">
        <v>44942</v>
      </c>
      <c r="E306" t="s">
        <v>1583</v>
      </c>
      <c r="F306" t="s">
        <v>1579</v>
      </c>
      <c r="G306" t="s">
        <v>677</v>
      </c>
      <c r="H306" t="s">
        <v>704</v>
      </c>
      <c r="I306" t="str">
        <f>VLOOKUP('E-impôts'!A306,Feuil2!$A$1:$AA$298,5,0)</f>
        <v>BOSSOU ARIELLE</v>
      </c>
      <c r="J306">
        <v>707719065</v>
      </c>
      <c r="K306" t="s">
        <v>1583</v>
      </c>
      <c r="L306" t="s">
        <v>750</v>
      </c>
      <c r="M306" t="s">
        <v>681</v>
      </c>
      <c r="N306" t="s">
        <v>681</v>
      </c>
      <c r="O306" t="s">
        <v>1585</v>
      </c>
      <c r="P306">
        <v>1000000</v>
      </c>
    </row>
    <row r="307" spans="1:16">
      <c r="A307" t="s">
        <v>604</v>
      </c>
      <c r="B307" t="s">
        <v>605</v>
      </c>
      <c r="C307" t="s">
        <v>1847</v>
      </c>
      <c r="D307" s="1">
        <v>45322</v>
      </c>
      <c r="E307" t="s">
        <v>1851</v>
      </c>
      <c r="F307" t="s">
        <v>1848</v>
      </c>
      <c r="G307" t="s">
        <v>677</v>
      </c>
      <c r="H307" t="s">
        <v>704</v>
      </c>
      <c r="I307" t="str">
        <f>VLOOKUP('E-impôts'!A307,Feuil2!$A$1:$AA$298,5,0)</f>
        <v>BONY BROU PRISCA</v>
      </c>
      <c r="J307">
        <v>788851789</v>
      </c>
      <c r="K307" t="s">
        <v>1851</v>
      </c>
      <c r="L307" t="s">
        <v>942</v>
      </c>
      <c r="M307" t="s">
        <v>681</v>
      </c>
      <c r="N307" t="s">
        <v>681</v>
      </c>
      <c r="O307" t="s">
        <v>681</v>
      </c>
      <c r="P307">
        <v>5000000</v>
      </c>
    </row>
    <row r="308" spans="1:16">
      <c r="A308" t="s">
        <v>606</v>
      </c>
      <c r="B308" t="s">
        <v>607</v>
      </c>
      <c r="C308" t="s">
        <v>2084</v>
      </c>
      <c r="D308" s="1">
        <v>44209</v>
      </c>
      <c r="E308" t="s">
        <v>1110</v>
      </c>
      <c r="F308" t="s">
        <v>1108</v>
      </c>
      <c r="G308" t="s">
        <v>677</v>
      </c>
      <c r="H308" t="s">
        <v>676</v>
      </c>
      <c r="I308" t="str">
        <f>VLOOKUP('E-impôts'!A308,Feuil2!$A$1:$AA$298,5,0)</f>
        <v>NULL</v>
      </c>
      <c r="J308">
        <v>709155178</v>
      </c>
      <c r="K308" t="s">
        <v>1110</v>
      </c>
      <c r="L308" t="s">
        <v>705</v>
      </c>
      <c r="M308" t="s">
        <v>672</v>
      </c>
      <c r="N308" t="s">
        <v>672</v>
      </c>
      <c r="O308" t="s">
        <v>672</v>
      </c>
      <c r="P308" t="s">
        <v>672</v>
      </c>
    </row>
    <row r="309" spans="1:16">
      <c r="A309" t="s">
        <v>608</v>
      </c>
      <c r="B309" t="s">
        <v>609</v>
      </c>
      <c r="C309" t="s">
        <v>2080</v>
      </c>
      <c r="D309" s="1">
        <v>45217</v>
      </c>
      <c r="E309" t="s">
        <v>1715</v>
      </c>
      <c r="F309" t="s">
        <v>1711</v>
      </c>
      <c r="G309" t="s">
        <v>677</v>
      </c>
      <c r="H309" t="s">
        <v>704</v>
      </c>
      <c r="I309" t="str">
        <f>VLOOKUP('E-impôts'!A309,Feuil2!$A$1:$AA$298,5,0)</f>
        <v>ASSOUHOUN KASSIBA BENGOULOMAN</v>
      </c>
      <c r="J309">
        <v>708458984</v>
      </c>
      <c r="K309" t="s">
        <v>1715</v>
      </c>
      <c r="L309" t="s">
        <v>942</v>
      </c>
      <c r="M309" t="s">
        <v>1717</v>
      </c>
      <c r="N309">
        <v>397</v>
      </c>
      <c r="O309" t="s">
        <v>879</v>
      </c>
      <c r="P309">
        <v>5000000</v>
      </c>
    </row>
    <row r="310" spans="1:16">
      <c r="A310" t="s">
        <v>610</v>
      </c>
      <c r="B310" t="s">
        <v>611</v>
      </c>
      <c r="C310" t="s">
        <v>2084</v>
      </c>
      <c r="D310" s="1">
        <v>43851</v>
      </c>
      <c r="E310" t="s">
        <v>1107</v>
      </c>
      <c r="F310" t="s">
        <v>672</v>
      </c>
      <c r="G310" t="s">
        <v>677</v>
      </c>
      <c r="H310" t="s">
        <v>676</v>
      </c>
      <c r="I310" t="e">
        <f>VLOOKUP('E-impôts'!A310,Feuil2!$A$1:$AA$298,5,0)</f>
        <v>#N/A</v>
      </c>
      <c r="K310" t="s">
        <v>1107</v>
      </c>
      <c r="L310" t="s">
        <v>705</v>
      </c>
      <c r="M310" t="s">
        <v>672</v>
      </c>
      <c r="N310" t="s">
        <v>672</v>
      </c>
      <c r="O310" t="s">
        <v>672</v>
      </c>
      <c r="P310" t="s">
        <v>672</v>
      </c>
    </row>
    <row r="311" spans="1:16">
      <c r="A311" t="s">
        <v>612</v>
      </c>
      <c r="B311" t="s">
        <v>613</v>
      </c>
      <c r="C311" t="s">
        <v>2084</v>
      </c>
      <c r="D311" s="1">
        <v>45320</v>
      </c>
      <c r="E311" t="s">
        <v>1605</v>
      </c>
      <c r="F311" t="s">
        <v>1601</v>
      </c>
      <c r="G311" t="s">
        <v>712</v>
      </c>
      <c r="H311" t="s">
        <v>704</v>
      </c>
      <c r="I311" t="str">
        <f>VLOOKUP('E-impôts'!A311,Feuil2!$A$1:$AA$298,5,0)</f>
        <v>AMANI YAKAN ANNICK-SYLVIE</v>
      </c>
      <c r="J311">
        <v>788881313</v>
      </c>
      <c r="K311" t="s">
        <v>1605</v>
      </c>
      <c r="L311" t="s">
        <v>1222</v>
      </c>
      <c r="M311" t="s">
        <v>681</v>
      </c>
      <c r="N311" t="s">
        <v>681</v>
      </c>
      <c r="O311" t="s">
        <v>681</v>
      </c>
      <c r="P311">
        <v>50000001</v>
      </c>
    </row>
    <row r="312" spans="1:16">
      <c r="A312" t="s">
        <v>614</v>
      </c>
      <c r="B312" t="s">
        <v>615</v>
      </c>
      <c r="C312" t="s">
        <v>2086</v>
      </c>
      <c r="D312" s="1">
        <v>44592</v>
      </c>
      <c r="E312" t="s">
        <v>1269</v>
      </c>
      <c r="F312" t="s">
        <v>1267</v>
      </c>
      <c r="G312" t="s">
        <v>677</v>
      </c>
      <c r="H312" t="s">
        <v>676</v>
      </c>
      <c r="I312" t="str">
        <f>VLOOKUP('E-impôts'!A312,Feuil2!$A$1:$AA$298,5,0)</f>
        <v>NULL</v>
      </c>
      <c r="J312">
        <v>708459696</v>
      </c>
      <c r="K312" t="s">
        <v>1269</v>
      </c>
      <c r="L312" t="s">
        <v>678</v>
      </c>
      <c r="M312" t="s">
        <v>672</v>
      </c>
      <c r="N312" t="s">
        <v>672</v>
      </c>
      <c r="O312" t="s">
        <v>672</v>
      </c>
      <c r="P312" t="s">
        <v>672</v>
      </c>
    </row>
    <row r="313" spans="1:16">
      <c r="A313" t="s">
        <v>616</v>
      </c>
      <c r="B313" t="s">
        <v>617</v>
      </c>
      <c r="C313" t="s">
        <v>2081</v>
      </c>
      <c r="D313" s="1">
        <v>44953</v>
      </c>
      <c r="E313" t="s">
        <v>976</v>
      </c>
      <c r="F313" t="s">
        <v>974</v>
      </c>
      <c r="G313" t="s">
        <v>677</v>
      </c>
      <c r="H313" t="s">
        <v>676</v>
      </c>
      <c r="I313" t="str">
        <f>VLOOKUP('E-impôts'!A313,Feuil2!$A$1:$AA$298,5,0)</f>
        <v>NULL</v>
      </c>
      <c r="J313">
        <v>102942319</v>
      </c>
      <c r="K313" t="s">
        <v>976</v>
      </c>
      <c r="L313" t="s">
        <v>750</v>
      </c>
      <c r="M313" t="s">
        <v>672</v>
      </c>
      <c r="N313" t="s">
        <v>672</v>
      </c>
      <c r="O313" t="s">
        <v>672</v>
      </c>
      <c r="P313" t="s">
        <v>672</v>
      </c>
    </row>
    <row r="314" spans="1:16">
      <c r="A314" t="s">
        <v>618</v>
      </c>
      <c r="B314" t="s">
        <v>619</v>
      </c>
      <c r="C314" t="s">
        <v>2086</v>
      </c>
      <c r="D314" s="1">
        <v>44224</v>
      </c>
      <c r="E314" t="s">
        <v>1266</v>
      </c>
      <c r="F314" t="s">
        <v>1111</v>
      </c>
      <c r="G314" t="s">
        <v>677</v>
      </c>
      <c r="H314" t="s">
        <v>676</v>
      </c>
      <c r="I314" t="str">
        <f>VLOOKUP('E-impôts'!A314,Feuil2!$A$1:$AA$298,5,0)</f>
        <v>NULL</v>
      </c>
      <c r="J314">
        <v>757931758</v>
      </c>
      <c r="K314" t="s">
        <v>1266</v>
      </c>
      <c r="L314" t="s">
        <v>942</v>
      </c>
      <c r="M314" t="s">
        <v>672</v>
      </c>
      <c r="N314" t="s">
        <v>672</v>
      </c>
      <c r="O314" t="s">
        <v>672</v>
      </c>
      <c r="P314" t="s">
        <v>672</v>
      </c>
    </row>
    <row r="315" spans="1:16">
      <c r="A315" t="s">
        <v>620</v>
      </c>
      <c r="B315" t="s">
        <v>621</v>
      </c>
      <c r="D315" s="1">
        <v>45320</v>
      </c>
      <c r="I315" t="str">
        <f>VLOOKUP('E-impôts'!A315,Feuil2!$A$1:$AA$298,5,0)</f>
        <v xml:space="preserve">AKA  ADJO MARIE LUC EMMANUELLA </v>
      </c>
      <c r="O315" t="s">
        <v>2380</v>
      </c>
    </row>
    <row r="316" spans="1:16">
      <c r="A316" t="s">
        <v>622</v>
      </c>
      <c r="B316" t="s">
        <v>623</v>
      </c>
      <c r="C316" t="s">
        <v>2084</v>
      </c>
      <c r="D316" s="1">
        <v>44208</v>
      </c>
      <c r="E316" t="s">
        <v>1103</v>
      </c>
      <c r="F316" t="s">
        <v>1101</v>
      </c>
      <c r="G316" t="s">
        <v>677</v>
      </c>
      <c r="H316" t="s">
        <v>676</v>
      </c>
      <c r="I316" t="str">
        <f>VLOOKUP('E-impôts'!A316,Feuil2!$A$1:$AA$298,5,0)</f>
        <v>NULL</v>
      </c>
      <c r="J316">
        <v>505994154</v>
      </c>
      <c r="K316" t="s">
        <v>1103</v>
      </c>
      <c r="L316" t="s">
        <v>705</v>
      </c>
      <c r="M316" t="s">
        <v>672</v>
      </c>
      <c r="N316" t="s">
        <v>672</v>
      </c>
      <c r="O316" t="s">
        <v>672</v>
      </c>
      <c r="P316" t="s">
        <v>672</v>
      </c>
    </row>
    <row r="317" spans="1:16">
      <c r="A317" t="s">
        <v>624</v>
      </c>
      <c r="B317" t="s">
        <v>625</v>
      </c>
      <c r="C317" t="s">
        <v>2081</v>
      </c>
      <c r="D317" s="1">
        <v>44942</v>
      </c>
      <c r="E317" t="s">
        <v>954</v>
      </c>
      <c r="F317" t="s">
        <v>952</v>
      </c>
      <c r="G317" t="s">
        <v>677</v>
      </c>
      <c r="H317" t="s">
        <v>704</v>
      </c>
      <c r="I317" t="str">
        <f>VLOOKUP('E-impôts'!A317,Feuil2!$A$1:$AA$298,5,0)</f>
        <v>NULL</v>
      </c>
      <c r="J317">
        <v>707719065</v>
      </c>
      <c r="K317" t="s">
        <v>954</v>
      </c>
      <c r="L317" t="s">
        <v>942</v>
      </c>
      <c r="M317" t="s">
        <v>672</v>
      </c>
      <c r="N317" t="s">
        <v>672</v>
      </c>
      <c r="O317" t="s">
        <v>672</v>
      </c>
      <c r="P317" t="s">
        <v>672</v>
      </c>
    </row>
    <row r="318" spans="1:16">
      <c r="A318" t="s">
        <v>626</v>
      </c>
      <c r="B318" t="s">
        <v>627</v>
      </c>
      <c r="D318" s="1">
        <v>44585</v>
      </c>
      <c r="I318" t="e">
        <f>VLOOKUP('E-impôts'!A318,Feuil2!$A$1:$AA$298,5,0)</f>
        <v>#N/A</v>
      </c>
    </row>
    <row r="319" spans="1:16">
      <c r="A319" t="s">
        <v>628</v>
      </c>
      <c r="B319" t="s">
        <v>629</v>
      </c>
      <c r="C319" t="s">
        <v>2085</v>
      </c>
      <c r="D319" s="1">
        <v>44224</v>
      </c>
      <c r="E319" t="s">
        <v>1892</v>
      </c>
      <c r="F319" t="s">
        <v>1888</v>
      </c>
      <c r="G319" t="s">
        <v>712</v>
      </c>
      <c r="H319" t="s">
        <v>704</v>
      </c>
      <c r="I319" t="str">
        <f>VLOOKUP('E-impôts'!A319,Feuil2!$A$1:$AA$298,5,0)</f>
        <v>KOUAME JEAN MARTIAL</v>
      </c>
      <c r="J319">
        <v>748561030</v>
      </c>
      <c r="K319" t="s">
        <v>1892</v>
      </c>
      <c r="L319" t="s">
        <v>1222</v>
      </c>
      <c r="M319" t="s">
        <v>672</v>
      </c>
      <c r="O319" t="s">
        <v>672</v>
      </c>
      <c r="P319">
        <v>1000000</v>
      </c>
    </row>
    <row r="320" spans="1:16">
      <c r="A320" t="s">
        <v>630</v>
      </c>
      <c r="B320" t="s">
        <v>631</v>
      </c>
      <c r="C320" t="s">
        <v>2081</v>
      </c>
      <c r="D320" s="1">
        <v>44952</v>
      </c>
      <c r="E320" t="s">
        <v>957</v>
      </c>
      <c r="F320" t="s">
        <v>939</v>
      </c>
      <c r="G320" t="s">
        <v>677</v>
      </c>
      <c r="H320" t="s">
        <v>704</v>
      </c>
      <c r="I320" t="str">
        <f>VLOOKUP('E-impôts'!A320,Feuil2!$A$1:$AA$298,5,0)</f>
        <v>NULL</v>
      </c>
      <c r="J320">
        <v>789901646</v>
      </c>
      <c r="K320" t="s">
        <v>957</v>
      </c>
      <c r="L320" t="s">
        <v>942</v>
      </c>
      <c r="M320" t="s">
        <v>672</v>
      </c>
      <c r="N320" t="s">
        <v>672</v>
      </c>
      <c r="O320" t="s">
        <v>672</v>
      </c>
      <c r="P320" t="s">
        <v>672</v>
      </c>
    </row>
    <row r="321" spans="1:16">
      <c r="A321" t="s">
        <v>632</v>
      </c>
      <c r="B321" t="s">
        <v>633</v>
      </c>
      <c r="D321" s="1">
        <v>44957</v>
      </c>
      <c r="I321" t="s">
        <v>2386</v>
      </c>
      <c r="L321" t="s">
        <v>678</v>
      </c>
      <c r="O321" t="s">
        <v>2368</v>
      </c>
    </row>
    <row r="322" spans="1:16">
      <c r="A322" t="s">
        <v>634</v>
      </c>
      <c r="B322" t="s">
        <v>635</v>
      </c>
      <c r="D322" s="1">
        <v>43479</v>
      </c>
      <c r="I322" t="e">
        <f>VLOOKUP('E-impôts'!A322,Feuil2!$A$1:$AA$298,5,0)</f>
        <v>#N/A</v>
      </c>
    </row>
    <row r="323" spans="1:16">
      <c r="A323" t="s">
        <v>636</v>
      </c>
      <c r="B323" t="s">
        <v>637</v>
      </c>
      <c r="C323" t="s">
        <v>2084</v>
      </c>
      <c r="D323" s="1">
        <v>44224</v>
      </c>
      <c r="E323" t="s">
        <v>1099</v>
      </c>
      <c r="F323" t="s">
        <v>1097</v>
      </c>
      <c r="G323" t="s">
        <v>677</v>
      </c>
      <c r="H323" t="s">
        <v>676</v>
      </c>
      <c r="I323" t="str">
        <f>VLOOKUP('E-impôts'!A323,Feuil2!$A$1:$AA$298,5,0)</f>
        <v>NULL</v>
      </c>
      <c r="K323" t="s">
        <v>1099</v>
      </c>
      <c r="L323" t="s">
        <v>687</v>
      </c>
      <c r="M323" t="s">
        <v>672</v>
      </c>
      <c r="N323" t="s">
        <v>672</v>
      </c>
      <c r="O323" t="s">
        <v>672</v>
      </c>
      <c r="P323" t="s">
        <v>672</v>
      </c>
    </row>
    <row r="324" spans="1:16">
      <c r="A324" t="s">
        <v>638</v>
      </c>
      <c r="B324" t="s">
        <v>639</v>
      </c>
      <c r="C324" t="s">
        <v>2081</v>
      </c>
      <c r="D324" s="1">
        <v>44589</v>
      </c>
      <c r="E324" t="s">
        <v>1012</v>
      </c>
      <c r="F324" t="s">
        <v>1010</v>
      </c>
      <c r="G324" t="s">
        <v>677</v>
      </c>
      <c r="H324" t="s">
        <v>704</v>
      </c>
      <c r="I324" t="str">
        <f>VLOOKUP('E-impôts'!A324,Feuil2!$A$1:$AA$298,5,0)</f>
        <v>NULL</v>
      </c>
      <c r="J324">
        <v>504869448</v>
      </c>
      <c r="K324" t="s">
        <v>1012</v>
      </c>
      <c r="L324" t="s">
        <v>942</v>
      </c>
      <c r="M324" t="s">
        <v>672</v>
      </c>
      <c r="N324" t="s">
        <v>672</v>
      </c>
      <c r="O324" t="s">
        <v>672</v>
      </c>
      <c r="P324" t="s">
        <v>672</v>
      </c>
    </row>
    <row r="325" spans="1:16">
      <c r="A325" t="s">
        <v>640</v>
      </c>
      <c r="B325" t="s">
        <v>641</v>
      </c>
      <c r="D325" s="1">
        <v>45114</v>
      </c>
      <c r="I325" t="e">
        <f>VLOOKUP('E-impôts'!A325,Feuil2!$A$1:$AA$298,5,0)</f>
        <v>#N/A</v>
      </c>
    </row>
    <row r="326" spans="1:16">
      <c r="A326" t="s">
        <v>642</v>
      </c>
      <c r="B326" t="s">
        <v>643</v>
      </c>
      <c r="C326" t="s">
        <v>2089</v>
      </c>
      <c r="D326" s="1">
        <v>45322</v>
      </c>
      <c r="E326" t="s">
        <v>1927</v>
      </c>
      <c r="F326" t="s">
        <v>912</v>
      </c>
      <c r="G326" t="s">
        <v>677</v>
      </c>
      <c r="H326" t="s">
        <v>704</v>
      </c>
      <c r="I326" t="str">
        <f>VLOOKUP('E-impôts'!A326,Feuil2!$A$1:$AA$298,5,0)</f>
        <v>FALILU ABUDUL KADIRI</v>
      </c>
      <c r="J326">
        <v>102920202</v>
      </c>
      <c r="K326" t="s">
        <v>1927</v>
      </c>
      <c r="L326" t="s">
        <v>692</v>
      </c>
      <c r="M326" t="s">
        <v>1929</v>
      </c>
      <c r="N326">
        <v>855</v>
      </c>
      <c r="O326" t="s">
        <v>870</v>
      </c>
      <c r="P326">
        <v>1000000</v>
      </c>
    </row>
    <row r="327" spans="1:16">
      <c r="A327" t="s">
        <v>644</v>
      </c>
      <c r="B327" t="s">
        <v>645</v>
      </c>
      <c r="C327" t="s">
        <v>2084</v>
      </c>
      <c r="D327" s="1">
        <v>45320</v>
      </c>
      <c r="E327" t="s">
        <v>1095</v>
      </c>
      <c r="F327" t="s">
        <v>1093</v>
      </c>
      <c r="G327" t="s">
        <v>677</v>
      </c>
      <c r="H327" t="s">
        <v>676</v>
      </c>
      <c r="I327" t="str">
        <f>VLOOKUP('E-impôts'!A327,Feuil2!$A$1:$AA$298,5,0)</f>
        <v>ABOTCHA EPSE GRANT YOBOU</v>
      </c>
      <c r="J327">
        <v>505074836</v>
      </c>
      <c r="K327" t="s">
        <v>1095</v>
      </c>
      <c r="L327" t="s">
        <v>692</v>
      </c>
      <c r="M327" t="s">
        <v>672</v>
      </c>
      <c r="N327" t="s">
        <v>672</v>
      </c>
      <c r="O327" t="s">
        <v>672</v>
      </c>
      <c r="P327" t="s">
        <v>672</v>
      </c>
    </row>
    <row r="328" spans="1:16">
      <c r="A328" t="s">
        <v>646</v>
      </c>
      <c r="B328" t="s">
        <v>647</v>
      </c>
      <c r="C328" t="s">
        <v>2084</v>
      </c>
      <c r="D328" s="1">
        <v>44207</v>
      </c>
      <c r="E328" t="s">
        <v>1095</v>
      </c>
      <c r="F328" t="s">
        <v>1093</v>
      </c>
      <c r="G328" t="s">
        <v>677</v>
      </c>
      <c r="H328" t="s">
        <v>676</v>
      </c>
      <c r="I328" t="str">
        <f>VLOOKUP('E-impôts'!A328,Feuil2!$A$1:$AA$298,5,0)</f>
        <v>NULL</v>
      </c>
      <c r="J328">
        <v>505074836</v>
      </c>
      <c r="K328" t="s">
        <v>1095</v>
      </c>
      <c r="L328" t="s">
        <v>692</v>
      </c>
      <c r="M328" t="s">
        <v>672</v>
      </c>
      <c r="N328" t="s">
        <v>672</v>
      </c>
      <c r="O328" t="s">
        <v>672</v>
      </c>
      <c r="P328" t="s">
        <v>672</v>
      </c>
    </row>
    <row r="329" spans="1:16">
      <c r="A329" t="s">
        <v>648</v>
      </c>
      <c r="B329" t="s">
        <v>649</v>
      </c>
      <c r="C329" t="s">
        <v>2080</v>
      </c>
      <c r="D329" s="1">
        <v>45321</v>
      </c>
      <c r="E329" t="s">
        <v>2008</v>
      </c>
      <c r="F329" t="s">
        <v>2005</v>
      </c>
      <c r="G329" t="s">
        <v>677</v>
      </c>
      <c r="H329" t="s">
        <v>676</v>
      </c>
      <c r="I329" t="str">
        <f>VLOOKUP('E-impôts'!A329,Feuil2!$A$1:$AA$298,5,0)</f>
        <v>ABE AHOUA SOPIE BERNADETTE</v>
      </c>
      <c r="J329">
        <v>707866748</v>
      </c>
      <c r="K329" t="s">
        <v>672</v>
      </c>
      <c r="L329" t="s">
        <v>834</v>
      </c>
      <c r="M329" t="s">
        <v>672</v>
      </c>
      <c r="N329" t="s">
        <v>672</v>
      </c>
      <c r="O329" t="s">
        <v>925</v>
      </c>
      <c r="P329" t="s">
        <v>672</v>
      </c>
    </row>
    <row r="330" spans="1:16">
      <c r="J330" t="s">
        <v>2414</v>
      </c>
    </row>
  </sheetData>
  <autoFilter ref="A1:P329" xr:uid="{8AB8FC28-A6F8-4F05-BFEE-4F0F9BF088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A2E9-C2FC-4C7D-986E-67C176148FEC}">
  <dimension ref="A1:AA298"/>
  <sheetViews>
    <sheetView topLeftCell="B1" workbookViewId="0">
      <selection activeCell="C7" sqref="C7"/>
    </sheetView>
  </sheetViews>
  <sheetFormatPr baseColWidth="10" defaultRowHeight="14.25"/>
  <cols>
    <col min="3" max="3" width="49.875" bestFit="1" customWidth="1"/>
    <col min="4" max="4" width="17.375" bestFit="1" customWidth="1"/>
  </cols>
  <sheetData>
    <row r="1" spans="1:27">
      <c r="A1" t="s">
        <v>662</v>
      </c>
      <c r="B1" t="s">
        <v>2091</v>
      </c>
      <c r="C1" t="s">
        <v>2092</v>
      </c>
      <c r="D1" t="s">
        <v>2366</v>
      </c>
      <c r="E1" t="s">
        <v>2094</v>
      </c>
      <c r="F1" t="s">
        <v>2095</v>
      </c>
      <c r="G1" t="s">
        <v>659</v>
      </c>
      <c r="H1" t="s">
        <v>660</v>
      </c>
      <c r="I1" t="s">
        <v>661</v>
      </c>
      <c r="J1" t="s">
        <v>663</v>
      </c>
      <c r="K1" t="s">
        <v>664</v>
      </c>
      <c r="L1" t="s">
        <v>665</v>
      </c>
      <c r="M1" t="s">
        <v>666</v>
      </c>
      <c r="N1" t="s">
        <v>667</v>
      </c>
      <c r="O1" t="s">
        <v>668</v>
      </c>
      <c r="P1" t="s">
        <v>669</v>
      </c>
      <c r="Q1" t="s">
        <v>670</v>
      </c>
      <c r="R1" t="s">
        <v>2096</v>
      </c>
      <c r="S1" t="s">
        <v>2097</v>
      </c>
      <c r="T1" t="s">
        <v>2098</v>
      </c>
      <c r="U1" t="s">
        <v>656</v>
      </c>
      <c r="V1" t="s">
        <v>2099</v>
      </c>
      <c r="W1" t="s">
        <v>655</v>
      </c>
      <c r="X1" t="s">
        <v>654</v>
      </c>
      <c r="Y1" t="s">
        <v>657</v>
      </c>
      <c r="Z1" t="s">
        <v>2100</v>
      </c>
      <c r="AA1" t="s">
        <v>2101</v>
      </c>
    </row>
    <row r="2" spans="1:27">
      <c r="A2" t="s">
        <v>352</v>
      </c>
      <c r="B2">
        <v>1</v>
      </c>
      <c r="C2" t="s">
        <v>353</v>
      </c>
      <c r="D2" t="str">
        <f>VLOOKUP('[1]tblclients (1)'!A2,[1]Feuil1!$A$1:$G$203,4,0)</f>
        <v>DCK</v>
      </c>
      <c r="E2" t="s">
        <v>672</v>
      </c>
      <c r="F2" t="s">
        <v>672</v>
      </c>
      <c r="G2" t="s">
        <v>674</v>
      </c>
      <c r="H2" t="s">
        <v>675</v>
      </c>
      <c r="I2" t="s">
        <v>672</v>
      </c>
      <c r="J2" t="s">
        <v>676</v>
      </c>
      <c r="K2" t="s">
        <v>677</v>
      </c>
      <c r="L2" t="s">
        <v>672</v>
      </c>
      <c r="M2" t="s">
        <v>672</v>
      </c>
      <c r="N2" t="s">
        <v>672</v>
      </c>
      <c r="O2" t="s">
        <v>678</v>
      </c>
      <c r="P2" t="s">
        <v>672</v>
      </c>
      <c r="Q2" t="s">
        <v>672</v>
      </c>
      <c r="R2" t="s">
        <v>672</v>
      </c>
      <c r="S2">
        <v>707059199</v>
      </c>
      <c r="T2">
        <v>54</v>
      </c>
      <c r="U2" t="s">
        <v>673</v>
      </c>
      <c r="V2" t="s">
        <v>672</v>
      </c>
      <c r="W2" t="s">
        <v>672</v>
      </c>
      <c r="X2" t="s">
        <v>671</v>
      </c>
      <c r="Y2" t="s">
        <v>672</v>
      </c>
      <c r="Z2" s="1">
        <v>43466</v>
      </c>
      <c r="AA2">
        <v>1</v>
      </c>
    </row>
    <row r="3" spans="1:27">
      <c r="A3" t="s">
        <v>376</v>
      </c>
      <c r="B3">
        <v>2</v>
      </c>
      <c r="C3" t="s">
        <v>377</v>
      </c>
      <c r="D3" t="str">
        <f>VLOOKUP('[1]tblclients (1)'!A3,[1]Feuil1!$A$1:$G$203,4,0)</f>
        <v>DCK</v>
      </c>
      <c r="E3" t="s">
        <v>377</v>
      </c>
      <c r="F3" t="s">
        <v>2121</v>
      </c>
      <c r="G3" t="s">
        <v>683</v>
      </c>
      <c r="H3" t="s">
        <v>684</v>
      </c>
      <c r="I3" t="s">
        <v>682</v>
      </c>
      <c r="J3" t="s">
        <v>676</v>
      </c>
      <c r="K3" t="s">
        <v>677</v>
      </c>
      <c r="L3" t="s">
        <v>685</v>
      </c>
      <c r="M3" t="s">
        <v>686</v>
      </c>
      <c r="N3">
        <v>541</v>
      </c>
      <c r="O3" t="s">
        <v>687</v>
      </c>
      <c r="P3" t="s">
        <v>688</v>
      </c>
      <c r="R3" t="s">
        <v>681</v>
      </c>
      <c r="S3">
        <v>758840340</v>
      </c>
      <c r="T3">
        <v>54</v>
      </c>
      <c r="U3" t="s">
        <v>673</v>
      </c>
      <c r="V3" t="s">
        <v>680</v>
      </c>
      <c r="W3" t="s">
        <v>681</v>
      </c>
      <c r="X3" t="s">
        <v>679</v>
      </c>
      <c r="Y3" t="s">
        <v>681</v>
      </c>
      <c r="Z3" s="1">
        <v>43466</v>
      </c>
      <c r="AA3">
        <v>1</v>
      </c>
    </row>
    <row r="4" spans="1:27">
      <c r="A4" t="s">
        <v>410</v>
      </c>
      <c r="B4">
        <v>3</v>
      </c>
      <c r="C4" t="s">
        <v>411</v>
      </c>
      <c r="D4" t="str">
        <f>VLOOKUP('[1]tblclients (1)'!A4,[1]Feuil1!$A$1:$G$203,4,0)</f>
        <v>DCK</v>
      </c>
      <c r="E4" t="s">
        <v>672</v>
      </c>
      <c r="F4" t="s">
        <v>672</v>
      </c>
      <c r="G4" t="s">
        <v>690</v>
      </c>
      <c r="H4" t="s">
        <v>691</v>
      </c>
      <c r="I4" t="s">
        <v>672</v>
      </c>
      <c r="J4" t="s">
        <v>676</v>
      </c>
      <c r="K4" t="s">
        <v>677</v>
      </c>
      <c r="L4" t="s">
        <v>672</v>
      </c>
      <c r="M4" t="s">
        <v>672</v>
      </c>
      <c r="N4" t="s">
        <v>672</v>
      </c>
      <c r="O4" t="s">
        <v>692</v>
      </c>
      <c r="P4" t="s">
        <v>672</v>
      </c>
      <c r="Q4" t="s">
        <v>672</v>
      </c>
      <c r="R4" t="s">
        <v>672</v>
      </c>
      <c r="S4">
        <v>707114141</v>
      </c>
      <c r="T4">
        <v>54</v>
      </c>
      <c r="U4" t="s">
        <v>673</v>
      </c>
      <c r="V4" t="s">
        <v>672</v>
      </c>
      <c r="W4" t="s">
        <v>672</v>
      </c>
      <c r="X4" t="s">
        <v>689</v>
      </c>
      <c r="Y4" t="s">
        <v>672</v>
      </c>
      <c r="Z4" s="1">
        <v>43471</v>
      </c>
      <c r="AA4">
        <v>1</v>
      </c>
    </row>
    <row r="5" spans="1:27">
      <c r="A5" t="s">
        <v>267</v>
      </c>
      <c r="B5">
        <v>4</v>
      </c>
      <c r="C5" t="s">
        <v>268</v>
      </c>
      <c r="D5" t="str">
        <f>VLOOKUP('[1]tblclients (1)'!A5,[1]Feuil1!$A$1:$G$203,4,0)</f>
        <v>DCK</v>
      </c>
      <c r="E5" t="s">
        <v>672</v>
      </c>
      <c r="F5" t="s">
        <v>672</v>
      </c>
      <c r="G5" t="s">
        <v>694</v>
      </c>
      <c r="H5" t="s">
        <v>695</v>
      </c>
      <c r="I5" t="s">
        <v>672</v>
      </c>
      <c r="J5" t="s">
        <v>676</v>
      </c>
      <c r="K5" t="s">
        <v>677</v>
      </c>
      <c r="L5" t="s">
        <v>672</v>
      </c>
      <c r="M5" t="s">
        <v>672</v>
      </c>
      <c r="N5" t="s">
        <v>672</v>
      </c>
      <c r="O5" t="s">
        <v>692</v>
      </c>
      <c r="P5" t="s">
        <v>672</v>
      </c>
      <c r="Q5" t="s">
        <v>672</v>
      </c>
      <c r="R5" t="s">
        <v>672</v>
      </c>
      <c r="S5">
        <v>707941178</v>
      </c>
      <c r="T5">
        <v>54</v>
      </c>
      <c r="U5" t="s">
        <v>673</v>
      </c>
      <c r="V5" t="s">
        <v>672</v>
      </c>
      <c r="W5" t="s">
        <v>672</v>
      </c>
      <c r="X5" t="s">
        <v>693</v>
      </c>
      <c r="Y5" t="s">
        <v>672</v>
      </c>
      <c r="Z5" s="1">
        <v>43479</v>
      </c>
      <c r="AA5">
        <v>1</v>
      </c>
    </row>
    <row r="6" spans="1:27">
      <c r="A6" t="s">
        <v>8</v>
      </c>
      <c r="B6">
        <v>5</v>
      </c>
      <c r="C6" t="s">
        <v>9</v>
      </c>
      <c r="D6" t="str">
        <f>VLOOKUP('[1]tblclients (1)'!A6,[1]Feuil1!$A$1:$G$203,4,0)</f>
        <v>DCK</v>
      </c>
      <c r="E6" t="s">
        <v>672</v>
      </c>
      <c r="F6" t="s">
        <v>672</v>
      </c>
      <c r="G6" t="s">
        <v>696</v>
      </c>
      <c r="H6" t="s">
        <v>697</v>
      </c>
      <c r="I6" t="s">
        <v>672</v>
      </c>
      <c r="J6" t="s">
        <v>676</v>
      </c>
      <c r="K6" t="s">
        <v>677</v>
      </c>
      <c r="L6" t="s">
        <v>672</v>
      </c>
      <c r="M6" t="s">
        <v>672</v>
      </c>
      <c r="N6" t="s">
        <v>672</v>
      </c>
      <c r="O6" t="s">
        <v>692</v>
      </c>
      <c r="P6" t="s">
        <v>672</v>
      </c>
      <c r="Q6" t="s">
        <v>672</v>
      </c>
      <c r="R6" t="s">
        <v>672</v>
      </c>
      <c r="S6">
        <v>505843545</v>
      </c>
      <c r="T6">
        <v>54</v>
      </c>
      <c r="U6" t="s">
        <v>673</v>
      </c>
      <c r="V6" t="s">
        <v>672</v>
      </c>
      <c r="W6" t="s">
        <v>672</v>
      </c>
      <c r="X6" t="s">
        <v>693</v>
      </c>
      <c r="Y6" t="s">
        <v>672</v>
      </c>
      <c r="Z6" s="1">
        <v>43479</v>
      </c>
      <c r="AA6">
        <v>1</v>
      </c>
    </row>
    <row r="7" spans="1:27">
      <c r="A7" t="s">
        <v>140</v>
      </c>
      <c r="B7">
        <v>6</v>
      </c>
      <c r="C7" t="s">
        <v>698</v>
      </c>
      <c r="D7" t="str">
        <f>VLOOKUP('[1]tblclients (1)'!A7,[1]Feuil1!$A$1:$G$203,4,0)</f>
        <v>DCK</v>
      </c>
      <c r="E7" t="s">
        <v>672</v>
      </c>
      <c r="F7" t="s">
        <v>672</v>
      </c>
      <c r="G7" t="s">
        <v>699</v>
      </c>
      <c r="H7" t="s">
        <v>700</v>
      </c>
      <c r="I7" t="s">
        <v>672</v>
      </c>
      <c r="J7" t="s">
        <v>676</v>
      </c>
      <c r="K7" t="s">
        <v>677</v>
      </c>
      <c r="L7" t="s">
        <v>672</v>
      </c>
      <c r="M7" t="s">
        <v>672</v>
      </c>
      <c r="N7" t="s">
        <v>672</v>
      </c>
      <c r="O7" t="s">
        <v>692</v>
      </c>
      <c r="P7" t="s">
        <v>672</v>
      </c>
      <c r="Q7" t="s">
        <v>672</v>
      </c>
      <c r="R7" t="s">
        <v>672</v>
      </c>
      <c r="S7">
        <v>707582591</v>
      </c>
      <c r="T7">
        <v>54</v>
      </c>
      <c r="U7" t="s">
        <v>673</v>
      </c>
      <c r="V7" t="s">
        <v>672</v>
      </c>
      <c r="W7" t="s">
        <v>672</v>
      </c>
      <c r="X7" t="s">
        <v>693</v>
      </c>
      <c r="Y7" t="s">
        <v>672</v>
      </c>
      <c r="Z7" s="1">
        <v>43479</v>
      </c>
      <c r="AA7">
        <v>1</v>
      </c>
    </row>
    <row r="8" spans="1:27">
      <c r="A8" t="s">
        <v>32</v>
      </c>
      <c r="B8">
        <v>7</v>
      </c>
      <c r="C8" t="s">
        <v>33</v>
      </c>
      <c r="D8" t="str">
        <f>VLOOKUP('[1]tblclients (1)'!A8,[1]Feuil1!$A$1:$G$203,4,0)</f>
        <v>DCK</v>
      </c>
      <c r="E8" t="s">
        <v>672</v>
      </c>
      <c r="F8" t="s">
        <v>672</v>
      </c>
      <c r="G8" t="s">
        <v>702</v>
      </c>
      <c r="H8" t="s">
        <v>703</v>
      </c>
      <c r="I8" t="s">
        <v>672</v>
      </c>
      <c r="J8" t="s">
        <v>704</v>
      </c>
      <c r="K8" t="s">
        <v>677</v>
      </c>
      <c r="L8" t="s">
        <v>672</v>
      </c>
      <c r="M8" t="s">
        <v>672</v>
      </c>
      <c r="N8" t="s">
        <v>672</v>
      </c>
      <c r="O8" t="s">
        <v>705</v>
      </c>
      <c r="P8" t="s">
        <v>672</v>
      </c>
      <c r="Q8" t="s">
        <v>672</v>
      </c>
      <c r="R8" t="s">
        <v>672</v>
      </c>
      <c r="S8">
        <v>789844008</v>
      </c>
      <c r="T8">
        <v>54</v>
      </c>
      <c r="U8" t="s">
        <v>673</v>
      </c>
      <c r="V8" t="s">
        <v>672</v>
      </c>
      <c r="W8" t="s">
        <v>672</v>
      </c>
      <c r="X8" t="s">
        <v>701</v>
      </c>
      <c r="Y8" t="s">
        <v>672</v>
      </c>
      <c r="Z8" s="1">
        <v>43479</v>
      </c>
      <c r="AA8">
        <v>1</v>
      </c>
    </row>
    <row r="9" spans="1:27">
      <c r="A9" t="s">
        <v>171</v>
      </c>
      <c r="B9">
        <v>8</v>
      </c>
      <c r="C9" t="s">
        <v>172</v>
      </c>
      <c r="D9" t="str">
        <f>VLOOKUP('[1]tblclients (1)'!A9,[1]Feuil1!$A$1:$G$203,4,0)</f>
        <v>DCK</v>
      </c>
      <c r="E9" t="s">
        <v>672</v>
      </c>
      <c r="F9" t="s">
        <v>672</v>
      </c>
      <c r="G9" t="s">
        <v>707</v>
      </c>
      <c r="H9" t="s">
        <v>708</v>
      </c>
      <c r="I9" t="s">
        <v>672</v>
      </c>
      <c r="J9" t="s">
        <v>704</v>
      </c>
      <c r="K9" t="s">
        <v>677</v>
      </c>
      <c r="L9" t="s">
        <v>672</v>
      </c>
      <c r="M9" t="s">
        <v>672</v>
      </c>
      <c r="N9" t="s">
        <v>672</v>
      </c>
      <c r="O9" t="s">
        <v>705</v>
      </c>
      <c r="P9" t="s">
        <v>672</v>
      </c>
      <c r="Q9" t="s">
        <v>672</v>
      </c>
      <c r="R9" t="s">
        <v>672</v>
      </c>
      <c r="S9">
        <v>707070102</v>
      </c>
      <c r="T9">
        <v>54</v>
      </c>
      <c r="U9" t="s">
        <v>673</v>
      </c>
      <c r="V9" t="s">
        <v>672</v>
      </c>
      <c r="W9" t="s">
        <v>672</v>
      </c>
      <c r="X9" t="s">
        <v>706</v>
      </c>
      <c r="Y9" t="s">
        <v>672</v>
      </c>
      <c r="Z9" s="1">
        <v>43479</v>
      </c>
      <c r="AA9">
        <v>1</v>
      </c>
    </row>
    <row r="10" spans="1:27">
      <c r="A10" t="s">
        <v>494</v>
      </c>
      <c r="B10">
        <v>9</v>
      </c>
      <c r="C10" t="s">
        <v>495</v>
      </c>
      <c r="D10" t="str">
        <f>VLOOKUP('[1]tblclients (1)'!A10,[1]Feuil1!$A$1:$G$203,4,0)</f>
        <v>DCK</v>
      </c>
      <c r="G10" t="s">
        <v>710</v>
      </c>
      <c r="H10" t="s">
        <v>711</v>
      </c>
      <c r="J10" t="s">
        <v>704</v>
      </c>
      <c r="K10" t="s">
        <v>712</v>
      </c>
      <c r="O10" t="s">
        <v>678</v>
      </c>
      <c r="S10">
        <v>101017474</v>
      </c>
      <c r="T10">
        <v>54</v>
      </c>
      <c r="U10" t="s">
        <v>673</v>
      </c>
      <c r="X10" t="s">
        <v>709</v>
      </c>
      <c r="Z10" s="1">
        <v>43479</v>
      </c>
      <c r="AA10">
        <v>1</v>
      </c>
    </row>
    <row r="11" spans="1:27">
      <c r="A11" t="s">
        <v>504</v>
      </c>
      <c r="B11">
        <v>10</v>
      </c>
      <c r="C11" t="s">
        <v>505</v>
      </c>
      <c r="D11" t="str">
        <f>VLOOKUP('[1]tblclients (1)'!A11,[1]Feuil1!$A$1:$G$203,4,0)</f>
        <v>DCK</v>
      </c>
      <c r="E11" t="s">
        <v>672</v>
      </c>
      <c r="F11" t="s">
        <v>672</v>
      </c>
      <c r="G11" t="s">
        <v>714</v>
      </c>
      <c r="H11" t="s">
        <v>715</v>
      </c>
      <c r="I11" t="s">
        <v>672</v>
      </c>
      <c r="J11" t="s">
        <v>676</v>
      </c>
      <c r="K11" t="s">
        <v>677</v>
      </c>
      <c r="L11" t="s">
        <v>672</v>
      </c>
      <c r="M11" t="s">
        <v>672</v>
      </c>
      <c r="N11" t="s">
        <v>672</v>
      </c>
      <c r="O11" t="s">
        <v>678</v>
      </c>
      <c r="P11" t="s">
        <v>672</v>
      </c>
      <c r="Q11" t="s">
        <v>672</v>
      </c>
      <c r="R11" t="s">
        <v>672</v>
      </c>
      <c r="S11">
        <v>707435252</v>
      </c>
      <c r="T11">
        <v>54</v>
      </c>
      <c r="U11" t="s">
        <v>673</v>
      </c>
      <c r="V11" t="s">
        <v>672</v>
      </c>
      <c r="W11" t="s">
        <v>672</v>
      </c>
      <c r="X11" t="s">
        <v>713</v>
      </c>
      <c r="Y11" t="s">
        <v>672</v>
      </c>
      <c r="Z11" s="1">
        <v>43479</v>
      </c>
      <c r="AA11">
        <v>1</v>
      </c>
    </row>
    <row r="12" spans="1:27">
      <c r="A12" t="s">
        <v>16</v>
      </c>
      <c r="B12">
        <v>11</v>
      </c>
      <c r="C12" t="s">
        <v>716</v>
      </c>
      <c r="D12" t="str">
        <f>VLOOKUP('[1]tblclients (1)'!A12,[1]Feuil1!$A$1:$G$203,4,0)</f>
        <v>DCK</v>
      </c>
      <c r="E12" t="s">
        <v>672</v>
      </c>
      <c r="F12" t="s">
        <v>672</v>
      </c>
      <c r="G12" t="s">
        <v>718</v>
      </c>
      <c r="H12" t="s">
        <v>719</v>
      </c>
      <c r="I12" t="s">
        <v>672</v>
      </c>
      <c r="J12" t="s">
        <v>676</v>
      </c>
      <c r="K12" t="s">
        <v>677</v>
      </c>
      <c r="L12" t="s">
        <v>672</v>
      </c>
      <c r="M12" t="s">
        <v>672</v>
      </c>
      <c r="N12" t="s">
        <v>672</v>
      </c>
      <c r="O12" t="s">
        <v>678</v>
      </c>
      <c r="P12" t="s">
        <v>672</v>
      </c>
      <c r="Q12" t="s">
        <v>672</v>
      </c>
      <c r="R12" t="s">
        <v>672</v>
      </c>
      <c r="S12">
        <v>707070392</v>
      </c>
      <c r="T12">
        <v>54</v>
      </c>
      <c r="U12" t="s">
        <v>673</v>
      </c>
      <c r="V12" t="s">
        <v>672</v>
      </c>
      <c r="W12" t="s">
        <v>672</v>
      </c>
      <c r="X12" t="s">
        <v>717</v>
      </c>
      <c r="Y12" t="s">
        <v>672</v>
      </c>
      <c r="Z12" s="1">
        <v>43479</v>
      </c>
      <c r="AA12">
        <v>1</v>
      </c>
    </row>
    <row r="13" spans="1:27">
      <c r="A13" t="s">
        <v>169</v>
      </c>
      <c r="B13">
        <v>12</v>
      </c>
      <c r="C13" t="s">
        <v>170</v>
      </c>
      <c r="D13" t="str">
        <f>VLOOKUP('[1]tblclients (1)'!A13,[1]Feuil1!$A$1:$G$203,4,0)</f>
        <v>DCK</v>
      </c>
      <c r="E13" t="s">
        <v>672</v>
      </c>
      <c r="F13" t="s">
        <v>672</v>
      </c>
      <c r="G13" t="s">
        <v>721</v>
      </c>
      <c r="H13" t="s">
        <v>722</v>
      </c>
      <c r="I13" t="s">
        <v>672</v>
      </c>
      <c r="J13" t="s">
        <v>676</v>
      </c>
      <c r="K13" t="s">
        <v>677</v>
      </c>
      <c r="L13" t="s">
        <v>672</v>
      </c>
      <c r="M13" t="s">
        <v>672</v>
      </c>
      <c r="N13" t="s">
        <v>672</v>
      </c>
      <c r="O13" t="s">
        <v>678</v>
      </c>
      <c r="P13" t="s">
        <v>672</v>
      </c>
      <c r="Q13" t="s">
        <v>672</v>
      </c>
      <c r="R13" t="s">
        <v>672</v>
      </c>
      <c r="S13">
        <v>708048295</v>
      </c>
      <c r="T13">
        <v>54</v>
      </c>
      <c r="U13" t="s">
        <v>673</v>
      </c>
      <c r="V13" t="s">
        <v>672</v>
      </c>
      <c r="W13" t="s">
        <v>672</v>
      </c>
      <c r="X13" t="s">
        <v>720</v>
      </c>
      <c r="Y13" t="s">
        <v>672</v>
      </c>
      <c r="Z13" s="1">
        <v>43479</v>
      </c>
      <c r="AA13">
        <v>1</v>
      </c>
    </row>
    <row r="14" spans="1:27">
      <c r="A14" t="s">
        <v>247</v>
      </c>
      <c r="B14">
        <v>13</v>
      </c>
      <c r="C14" t="s">
        <v>723</v>
      </c>
      <c r="D14" t="str">
        <f>VLOOKUP('[1]tblclients (1)'!A14,[1]Feuil1!$A$1:$G$203,4,0)</f>
        <v>DCK</v>
      </c>
      <c r="E14" t="s">
        <v>723</v>
      </c>
      <c r="F14" t="s">
        <v>2122</v>
      </c>
      <c r="G14" t="s">
        <v>725</v>
      </c>
      <c r="H14" t="s">
        <v>726</v>
      </c>
      <c r="I14" t="s">
        <v>681</v>
      </c>
      <c r="J14" t="s">
        <v>676</v>
      </c>
      <c r="K14" t="s">
        <v>677</v>
      </c>
      <c r="L14" t="s">
        <v>727</v>
      </c>
    </row>
    <row r="15" spans="1:27">
      <c r="A15" t="s">
        <v>283</v>
      </c>
      <c r="B15">
        <v>14</v>
      </c>
      <c r="C15" t="s">
        <v>284</v>
      </c>
      <c r="D15" t="str">
        <f>VLOOKUP('[1]tblclients (1)'!A15,[1]Feuil1!$A$1:$G$203,4,0)</f>
        <v>DCK</v>
      </c>
      <c r="E15" t="s">
        <v>2123</v>
      </c>
      <c r="F15" t="s">
        <v>2122</v>
      </c>
      <c r="G15" t="s">
        <v>729</v>
      </c>
      <c r="H15" t="s">
        <v>730</v>
      </c>
      <c r="J15" t="s">
        <v>676</v>
      </c>
      <c r="K15" t="s">
        <v>677</v>
      </c>
      <c r="S15">
        <v>101800240</v>
      </c>
      <c r="T15">
        <v>54</v>
      </c>
      <c r="U15" t="s">
        <v>673</v>
      </c>
      <c r="X15" t="s">
        <v>728</v>
      </c>
      <c r="Z15" s="1">
        <v>43479</v>
      </c>
      <c r="AA15">
        <v>1</v>
      </c>
    </row>
    <row r="16" spans="1:27">
      <c r="A16" t="s">
        <v>14</v>
      </c>
      <c r="B16">
        <v>15</v>
      </c>
      <c r="C16" t="s">
        <v>15</v>
      </c>
      <c r="D16" t="str">
        <f>VLOOKUP('[1]tblclients (1)'!A16,[1]Feuil1!$A$1:$G$203,4,0)</f>
        <v>DCK</v>
      </c>
      <c r="E16" t="s">
        <v>2124</v>
      </c>
      <c r="F16" t="s">
        <v>731</v>
      </c>
      <c r="G16" t="s">
        <v>733</v>
      </c>
      <c r="H16" t="s">
        <v>734</v>
      </c>
      <c r="I16" t="s">
        <v>732</v>
      </c>
      <c r="J16" t="s">
        <v>676</v>
      </c>
      <c r="K16" t="s">
        <v>677</v>
      </c>
      <c r="L16" t="s">
        <v>735</v>
      </c>
      <c r="M16" t="s">
        <v>681</v>
      </c>
      <c r="N16" t="s">
        <v>681</v>
      </c>
      <c r="O16" t="s">
        <v>687</v>
      </c>
      <c r="P16" t="s">
        <v>736</v>
      </c>
      <c r="Q16">
        <v>6000000</v>
      </c>
      <c r="R16" t="s">
        <v>681</v>
      </c>
      <c r="S16">
        <v>757740598</v>
      </c>
      <c r="T16">
        <v>54</v>
      </c>
      <c r="U16" t="s">
        <v>673</v>
      </c>
      <c r="V16">
        <v>225</v>
      </c>
      <c r="W16" t="s">
        <v>681</v>
      </c>
      <c r="X16" t="s">
        <v>728</v>
      </c>
      <c r="Z16" s="1">
        <v>43479</v>
      </c>
      <c r="AA16">
        <v>1</v>
      </c>
    </row>
    <row r="17" spans="1:27">
      <c r="A17" t="s">
        <v>10</v>
      </c>
      <c r="B17">
        <v>16</v>
      </c>
      <c r="C17" t="s">
        <v>11</v>
      </c>
      <c r="D17" t="str">
        <f>VLOOKUP('[1]tblclients (1)'!A17,[1]Feuil1!$A$1:$G$203,4,0)</f>
        <v>DCK</v>
      </c>
      <c r="E17" t="s">
        <v>11</v>
      </c>
      <c r="F17" t="s">
        <v>2125</v>
      </c>
      <c r="G17" t="s">
        <v>739</v>
      </c>
      <c r="H17" t="s">
        <v>740</v>
      </c>
      <c r="I17" t="s">
        <v>738</v>
      </c>
      <c r="J17" t="s">
        <v>676</v>
      </c>
      <c r="K17" t="s">
        <v>677</v>
      </c>
      <c r="L17" t="s">
        <v>741</v>
      </c>
      <c r="M17" t="s">
        <v>681</v>
      </c>
      <c r="N17" t="s">
        <v>681</v>
      </c>
      <c r="O17" t="s">
        <v>742</v>
      </c>
      <c r="P17" t="s">
        <v>681</v>
      </c>
      <c r="R17" t="s">
        <v>681</v>
      </c>
      <c r="S17">
        <v>505938989</v>
      </c>
      <c r="T17">
        <v>54</v>
      </c>
      <c r="U17" t="s">
        <v>673</v>
      </c>
      <c r="V17" t="s">
        <v>681</v>
      </c>
      <c r="W17" t="s">
        <v>681</v>
      </c>
      <c r="X17" t="s">
        <v>737</v>
      </c>
      <c r="Y17" t="s">
        <v>681</v>
      </c>
      <c r="Z17" s="1">
        <v>43479</v>
      </c>
      <c r="AA17">
        <v>1</v>
      </c>
    </row>
    <row r="18" spans="1:27">
      <c r="A18" t="s">
        <v>530</v>
      </c>
      <c r="B18">
        <v>17</v>
      </c>
      <c r="C18" t="s">
        <v>531</v>
      </c>
      <c r="D18" t="str">
        <f>VLOOKUP('[1]tblclients (1)'!A18,[1]Feuil1!$A$1:$G$203,4,0)</f>
        <v>DCK</v>
      </c>
      <c r="E18" t="s">
        <v>672</v>
      </c>
      <c r="F18" t="s">
        <v>672</v>
      </c>
      <c r="G18" t="s">
        <v>744</v>
      </c>
      <c r="H18" t="s">
        <v>745</v>
      </c>
      <c r="I18" t="s">
        <v>672</v>
      </c>
      <c r="J18" t="s">
        <v>704</v>
      </c>
      <c r="K18" t="s">
        <v>712</v>
      </c>
      <c r="L18" t="s">
        <v>672</v>
      </c>
      <c r="M18" t="s">
        <v>672</v>
      </c>
      <c r="N18" t="s">
        <v>672</v>
      </c>
      <c r="O18" t="s">
        <v>746</v>
      </c>
      <c r="P18" t="s">
        <v>672</v>
      </c>
      <c r="Q18" t="s">
        <v>672</v>
      </c>
      <c r="R18" t="s">
        <v>672</v>
      </c>
      <c r="S18">
        <v>757893651</v>
      </c>
      <c r="T18">
        <v>54</v>
      </c>
      <c r="U18" t="s">
        <v>673</v>
      </c>
      <c r="V18" t="s">
        <v>672</v>
      </c>
      <c r="W18" t="s">
        <v>672</v>
      </c>
      <c r="X18" t="s">
        <v>743</v>
      </c>
      <c r="Y18" t="s">
        <v>672</v>
      </c>
      <c r="Z18" s="1">
        <v>43479</v>
      </c>
      <c r="AA18">
        <v>1</v>
      </c>
    </row>
    <row r="19" spans="1:27">
      <c r="A19" t="s">
        <v>514</v>
      </c>
      <c r="B19">
        <v>18</v>
      </c>
      <c r="C19" t="s">
        <v>515</v>
      </c>
      <c r="D19" t="str">
        <f>VLOOKUP('[1]tblclients (1)'!A19,[1]Feuil1!$A$1:$G$203,4,0)</f>
        <v>DCK</v>
      </c>
      <c r="E19" t="s">
        <v>672</v>
      </c>
      <c r="F19" t="s">
        <v>672</v>
      </c>
      <c r="G19" t="s">
        <v>748</v>
      </c>
      <c r="H19" t="s">
        <v>749</v>
      </c>
      <c r="I19" t="s">
        <v>672</v>
      </c>
      <c r="J19" t="s">
        <v>676</v>
      </c>
      <c r="K19" t="s">
        <v>677</v>
      </c>
      <c r="L19" t="s">
        <v>672</v>
      </c>
      <c r="M19" t="s">
        <v>672</v>
      </c>
      <c r="N19" t="s">
        <v>672</v>
      </c>
      <c r="O19" t="s">
        <v>750</v>
      </c>
      <c r="P19" t="s">
        <v>672</v>
      </c>
      <c r="Q19" t="s">
        <v>672</v>
      </c>
      <c r="R19" t="s">
        <v>672</v>
      </c>
      <c r="S19">
        <v>505050371</v>
      </c>
      <c r="T19">
        <v>54</v>
      </c>
      <c r="U19" t="s">
        <v>673</v>
      </c>
      <c r="V19" t="s">
        <v>672</v>
      </c>
      <c r="W19" t="s">
        <v>672</v>
      </c>
      <c r="X19" t="s">
        <v>747</v>
      </c>
      <c r="Y19" t="s">
        <v>672</v>
      </c>
      <c r="Z19" s="1">
        <v>43479</v>
      </c>
      <c r="AA19">
        <v>1</v>
      </c>
    </row>
    <row r="20" spans="1:27">
      <c r="A20" t="s">
        <v>516</v>
      </c>
      <c r="B20">
        <v>19</v>
      </c>
      <c r="C20" t="s">
        <v>751</v>
      </c>
      <c r="D20" t="str">
        <f>VLOOKUP('[1]tblclients (1)'!A20,[1]Feuil1!$A$1:$G$203,4,0)</f>
        <v>DCK</v>
      </c>
      <c r="E20" t="s">
        <v>672</v>
      </c>
      <c r="F20" t="s">
        <v>672</v>
      </c>
      <c r="G20" t="s">
        <v>753</v>
      </c>
      <c r="H20" t="s">
        <v>754</v>
      </c>
      <c r="I20" t="s">
        <v>672</v>
      </c>
      <c r="J20" t="s">
        <v>676</v>
      </c>
      <c r="K20" t="s">
        <v>677</v>
      </c>
      <c r="L20" t="s">
        <v>672</v>
      </c>
      <c r="M20" t="s">
        <v>672</v>
      </c>
      <c r="N20" t="s">
        <v>672</v>
      </c>
      <c r="O20" t="s">
        <v>750</v>
      </c>
      <c r="P20" t="s">
        <v>672</v>
      </c>
      <c r="Q20" t="s">
        <v>672</v>
      </c>
      <c r="R20" t="s">
        <v>672</v>
      </c>
      <c r="S20">
        <v>779941955</v>
      </c>
      <c r="T20">
        <v>54</v>
      </c>
      <c r="U20" t="s">
        <v>673</v>
      </c>
      <c r="V20" t="s">
        <v>672</v>
      </c>
      <c r="W20" t="s">
        <v>672</v>
      </c>
      <c r="X20" t="s">
        <v>752</v>
      </c>
      <c r="Y20" t="s">
        <v>672</v>
      </c>
      <c r="Z20" s="1">
        <v>43479</v>
      </c>
      <c r="AA20">
        <v>1</v>
      </c>
    </row>
    <row r="21" spans="1:27">
      <c r="A21" t="s">
        <v>438</v>
      </c>
      <c r="B21">
        <v>20</v>
      </c>
      <c r="C21" t="s">
        <v>439</v>
      </c>
      <c r="D21" t="str">
        <f>VLOOKUP('[1]tblclients (1)'!A21,[1]Feuil1!$A$1:$G$203,4,0)</f>
        <v>DCK</v>
      </c>
      <c r="E21" t="s">
        <v>2126</v>
      </c>
      <c r="F21" t="s">
        <v>2127</v>
      </c>
      <c r="G21" t="s">
        <v>758</v>
      </c>
      <c r="H21" t="s">
        <v>759</v>
      </c>
      <c r="I21" t="s">
        <v>757</v>
      </c>
      <c r="J21" t="s">
        <v>704</v>
      </c>
      <c r="K21" t="s">
        <v>677</v>
      </c>
      <c r="L21" t="s">
        <v>2128</v>
      </c>
      <c r="M21" t="s">
        <v>686</v>
      </c>
      <c r="N21">
        <v>222</v>
      </c>
      <c r="O21" t="s">
        <v>687</v>
      </c>
      <c r="P21" t="s">
        <v>760</v>
      </c>
      <c r="Q21" s="2">
        <v>1000000</v>
      </c>
      <c r="R21" t="s">
        <v>681</v>
      </c>
      <c r="S21">
        <v>102377494</v>
      </c>
      <c r="T21">
        <v>54</v>
      </c>
      <c r="U21" t="s">
        <v>673</v>
      </c>
      <c r="V21" t="s">
        <v>756</v>
      </c>
      <c r="W21" t="s">
        <v>681</v>
      </c>
      <c r="X21" t="s">
        <v>755</v>
      </c>
      <c r="Y21" t="s">
        <v>681</v>
      </c>
      <c r="Z21" s="1">
        <v>43479</v>
      </c>
      <c r="AA21">
        <v>1</v>
      </c>
    </row>
    <row r="22" spans="1:27">
      <c r="A22" t="s">
        <v>249</v>
      </c>
      <c r="B22">
        <v>21</v>
      </c>
      <c r="C22" t="s">
        <v>250</v>
      </c>
      <c r="D22" t="str">
        <f>VLOOKUP('[1]tblclients (1)'!A22,[1]Feuil1!$A$1:$G$203,4,0)</f>
        <v>DCK</v>
      </c>
      <c r="E22" t="s">
        <v>672</v>
      </c>
      <c r="F22" t="s">
        <v>672</v>
      </c>
      <c r="G22" t="s">
        <v>761</v>
      </c>
      <c r="H22" t="s">
        <v>734</v>
      </c>
      <c r="I22" t="s">
        <v>672</v>
      </c>
      <c r="J22" t="s">
        <v>676</v>
      </c>
      <c r="K22" t="s">
        <v>677</v>
      </c>
      <c r="L22" t="s">
        <v>672</v>
      </c>
      <c r="M22" t="s">
        <v>672</v>
      </c>
      <c r="N22" t="s">
        <v>672</v>
      </c>
      <c r="O22" t="s">
        <v>692</v>
      </c>
      <c r="P22" t="s">
        <v>672</v>
      </c>
      <c r="Q22" t="s">
        <v>672</v>
      </c>
      <c r="R22" t="s">
        <v>672</v>
      </c>
      <c r="S22">
        <v>707063365</v>
      </c>
      <c r="T22">
        <v>54</v>
      </c>
      <c r="U22" t="s">
        <v>673</v>
      </c>
      <c r="V22" t="s">
        <v>672</v>
      </c>
      <c r="W22" t="s">
        <v>672</v>
      </c>
      <c r="X22" t="s">
        <v>706</v>
      </c>
      <c r="Y22" t="s">
        <v>672</v>
      </c>
      <c r="Z22" s="1">
        <v>43522</v>
      </c>
      <c r="AA22">
        <v>1</v>
      </c>
    </row>
    <row r="23" spans="1:27">
      <c r="A23" t="s">
        <v>24</v>
      </c>
      <c r="B23">
        <v>22</v>
      </c>
      <c r="C23" t="s">
        <v>762</v>
      </c>
      <c r="D23" t="str">
        <f>VLOOKUP('[1]tblclients (1)'!A23,[1]Feuil1!$A$1:$G$203,4,0)</f>
        <v>DCK</v>
      </c>
      <c r="E23" t="s">
        <v>2129</v>
      </c>
      <c r="F23" t="s">
        <v>2130</v>
      </c>
      <c r="G23" t="s">
        <v>765</v>
      </c>
      <c r="H23" t="s">
        <v>766</v>
      </c>
      <c r="I23" t="s">
        <v>764</v>
      </c>
      <c r="J23" t="s">
        <v>676</v>
      </c>
      <c r="K23" t="s">
        <v>677</v>
      </c>
      <c r="L23" t="s">
        <v>767</v>
      </c>
      <c r="M23" t="s">
        <v>768</v>
      </c>
      <c r="N23">
        <v>39</v>
      </c>
      <c r="O23" t="s">
        <v>687</v>
      </c>
      <c r="P23" t="s">
        <v>769</v>
      </c>
      <c r="R23" t="s">
        <v>681</v>
      </c>
      <c r="S23">
        <v>505060740</v>
      </c>
      <c r="T23">
        <v>54</v>
      </c>
      <c r="U23" t="s">
        <v>673</v>
      </c>
      <c r="W23" t="s">
        <v>681</v>
      </c>
      <c r="X23" t="s">
        <v>763</v>
      </c>
      <c r="Y23" t="s">
        <v>681</v>
      </c>
      <c r="Z23" s="1">
        <v>43844</v>
      </c>
      <c r="AA23">
        <v>1</v>
      </c>
    </row>
    <row r="24" spans="1:27">
      <c r="A24" t="s">
        <v>34</v>
      </c>
      <c r="B24">
        <v>23</v>
      </c>
      <c r="C24" t="s">
        <v>35</v>
      </c>
      <c r="D24" t="str">
        <f>VLOOKUP('[1]tblclients (1)'!A24,[1]Feuil1!$A$1:$G$203,4,0)</f>
        <v>DCK</v>
      </c>
      <c r="E24" t="s">
        <v>35</v>
      </c>
      <c r="F24" t="s">
        <v>2121</v>
      </c>
      <c r="G24" t="s">
        <v>772</v>
      </c>
      <c r="H24" t="s">
        <v>773</v>
      </c>
      <c r="I24" t="s">
        <v>771</v>
      </c>
      <c r="J24" t="s">
        <v>676</v>
      </c>
      <c r="K24" t="s">
        <v>677</v>
      </c>
      <c r="L24" t="s">
        <v>774</v>
      </c>
      <c r="M24" t="s">
        <v>775</v>
      </c>
      <c r="N24">
        <v>207</v>
      </c>
      <c r="O24" t="s">
        <v>687</v>
      </c>
      <c r="P24" t="s">
        <v>776</v>
      </c>
      <c r="R24" t="s">
        <v>681</v>
      </c>
      <c r="S24">
        <v>707070392</v>
      </c>
      <c r="T24">
        <v>54</v>
      </c>
      <c r="U24" t="s">
        <v>673</v>
      </c>
      <c r="W24" t="s">
        <v>681</v>
      </c>
      <c r="X24" t="s">
        <v>770</v>
      </c>
      <c r="Z24" s="1">
        <v>43844</v>
      </c>
      <c r="AA24">
        <v>1</v>
      </c>
    </row>
    <row r="25" spans="1:27">
      <c r="A25" t="s">
        <v>779</v>
      </c>
      <c r="B25">
        <v>24</v>
      </c>
      <c r="C25" t="s">
        <v>777</v>
      </c>
      <c r="D25" t="str">
        <f>VLOOKUP('[1]tblclients (1)'!A25,[1]Feuil1!$A$1:$G$203,4,0)</f>
        <v>DCK</v>
      </c>
      <c r="E25" t="s">
        <v>672</v>
      </c>
      <c r="F25" t="s">
        <v>672</v>
      </c>
      <c r="G25" t="s">
        <v>780</v>
      </c>
      <c r="H25" t="s">
        <v>781</v>
      </c>
      <c r="I25" t="s">
        <v>672</v>
      </c>
      <c r="J25" t="s">
        <v>704</v>
      </c>
      <c r="K25" t="s">
        <v>677</v>
      </c>
      <c r="L25" t="s">
        <v>672</v>
      </c>
      <c r="M25" t="s">
        <v>672</v>
      </c>
      <c r="N25" t="s">
        <v>672</v>
      </c>
      <c r="O25" t="s">
        <v>705</v>
      </c>
      <c r="P25" t="s">
        <v>672</v>
      </c>
      <c r="Q25" t="s">
        <v>672</v>
      </c>
      <c r="R25" t="s">
        <v>672</v>
      </c>
      <c r="S25">
        <v>2722413235</v>
      </c>
      <c r="T25">
        <v>54</v>
      </c>
      <c r="U25" t="s">
        <v>673</v>
      </c>
      <c r="V25" t="s">
        <v>672</v>
      </c>
      <c r="W25" t="s">
        <v>672</v>
      </c>
      <c r="X25" t="s">
        <v>778</v>
      </c>
      <c r="Y25" t="s">
        <v>672</v>
      </c>
      <c r="Z25" s="1">
        <v>43845</v>
      </c>
      <c r="AA25">
        <v>1</v>
      </c>
    </row>
    <row r="26" spans="1:27">
      <c r="A26" t="s">
        <v>26</v>
      </c>
      <c r="B26">
        <v>25</v>
      </c>
      <c r="C26" t="s">
        <v>27</v>
      </c>
      <c r="D26" t="str">
        <f>VLOOKUP('[1]tblclients (1)'!A26,[1]Feuil1!$A$1:$G$203,4,0)</f>
        <v>DCK</v>
      </c>
      <c r="E26" t="s">
        <v>27</v>
      </c>
      <c r="F26" t="s">
        <v>2125</v>
      </c>
      <c r="G26" t="s">
        <v>783</v>
      </c>
      <c r="H26" t="s">
        <v>784</v>
      </c>
      <c r="J26" t="s">
        <v>676</v>
      </c>
      <c r="K26" t="s">
        <v>677</v>
      </c>
      <c r="L26" t="s">
        <v>785</v>
      </c>
      <c r="M26" t="s">
        <v>786</v>
      </c>
      <c r="N26">
        <v>10</v>
      </c>
      <c r="O26" t="s">
        <v>687</v>
      </c>
      <c r="P26" t="s">
        <v>787</v>
      </c>
      <c r="R26" t="s">
        <v>681</v>
      </c>
      <c r="S26">
        <v>708112943</v>
      </c>
      <c r="T26">
        <v>54</v>
      </c>
      <c r="U26" t="s">
        <v>673</v>
      </c>
      <c r="W26" t="s">
        <v>681</v>
      </c>
      <c r="X26" t="s">
        <v>782</v>
      </c>
      <c r="Z26" s="1">
        <v>43847</v>
      </c>
      <c r="AA26">
        <v>1</v>
      </c>
    </row>
    <row r="27" spans="1:27">
      <c r="A27" t="s">
        <v>122</v>
      </c>
      <c r="B27">
        <v>26</v>
      </c>
      <c r="C27" t="s">
        <v>123</v>
      </c>
      <c r="D27" t="str">
        <f>VLOOKUP('[1]tblclients (1)'!A27,[1]Feuil1!$A$1:$G$203,4,0)</f>
        <v>DCK</v>
      </c>
      <c r="E27" t="s">
        <v>2131</v>
      </c>
      <c r="F27" t="s">
        <v>2122</v>
      </c>
      <c r="G27" t="s">
        <v>790</v>
      </c>
      <c r="H27" t="s">
        <v>791</v>
      </c>
      <c r="I27" t="s">
        <v>789</v>
      </c>
      <c r="J27" t="s">
        <v>676</v>
      </c>
      <c r="K27" t="s">
        <v>677</v>
      </c>
      <c r="L27" t="s">
        <v>792</v>
      </c>
      <c r="M27" t="s">
        <v>793</v>
      </c>
      <c r="N27">
        <v>527</v>
      </c>
      <c r="O27" t="s">
        <v>687</v>
      </c>
      <c r="P27" t="s">
        <v>794</v>
      </c>
      <c r="R27" t="s">
        <v>681</v>
      </c>
      <c r="S27">
        <v>778972145</v>
      </c>
      <c r="T27">
        <v>54</v>
      </c>
      <c r="U27" t="s">
        <v>673</v>
      </c>
      <c r="W27" t="s">
        <v>681</v>
      </c>
      <c r="X27" t="s">
        <v>788</v>
      </c>
      <c r="Y27" t="s">
        <v>681</v>
      </c>
      <c r="Z27" s="1">
        <v>43858</v>
      </c>
      <c r="AA27">
        <v>1</v>
      </c>
    </row>
    <row r="28" spans="1:27">
      <c r="A28" t="s">
        <v>506</v>
      </c>
      <c r="B28">
        <v>27</v>
      </c>
      <c r="C28" t="s">
        <v>507</v>
      </c>
      <c r="D28" t="str">
        <f>VLOOKUP('[1]tblclients (1)'!A28,[1]Feuil1!$A$1:$G$203,4,0)</f>
        <v>DCK</v>
      </c>
      <c r="E28" t="s">
        <v>672</v>
      </c>
      <c r="F28" t="s">
        <v>672</v>
      </c>
      <c r="G28" t="s">
        <v>796</v>
      </c>
      <c r="H28" t="s">
        <v>797</v>
      </c>
      <c r="I28" t="s">
        <v>672</v>
      </c>
      <c r="J28" t="s">
        <v>704</v>
      </c>
      <c r="K28" t="s">
        <v>677</v>
      </c>
      <c r="L28" t="s">
        <v>672</v>
      </c>
      <c r="M28" t="s">
        <v>672</v>
      </c>
      <c r="N28" t="s">
        <v>672</v>
      </c>
      <c r="O28" t="s">
        <v>798</v>
      </c>
      <c r="P28" t="s">
        <v>672</v>
      </c>
      <c r="Q28" t="s">
        <v>672</v>
      </c>
      <c r="R28" t="s">
        <v>672</v>
      </c>
      <c r="S28">
        <v>779190538</v>
      </c>
      <c r="T28">
        <v>54</v>
      </c>
      <c r="U28" t="s">
        <v>673</v>
      </c>
      <c r="V28" t="s">
        <v>672</v>
      </c>
      <c r="W28" t="s">
        <v>672</v>
      </c>
      <c r="X28" t="s">
        <v>795</v>
      </c>
      <c r="Y28" t="s">
        <v>672</v>
      </c>
      <c r="Z28" s="1">
        <v>44111</v>
      </c>
      <c r="AA28">
        <v>1</v>
      </c>
    </row>
    <row r="29" spans="1:27">
      <c r="A29" t="s">
        <v>408</v>
      </c>
      <c r="B29">
        <v>28</v>
      </c>
      <c r="C29" t="s">
        <v>409</v>
      </c>
      <c r="D29" t="str">
        <f>VLOOKUP('[1]tblclients (1)'!A29,[1]Feuil1!$A$1:$G$203,4,0)</f>
        <v>DCK</v>
      </c>
      <c r="E29" t="s">
        <v>672</v>
      </c>
      <c r="F29" t="s">
        <v>672</v>
      </c>
      <c r="G29" t="s">
        <v>800</v>
      </c>
      <c r="H29" t="s">
        <v>801</v>
      </c>
      <c r="I29" t="s">
        <v>672</v>
      </c>
      <c r="J29" t="s">
        <v>676</v>
      </c>
      <c r="K29" t="s">
        <v>677</v>
      </c>
      <c r="L29" t="s">
        <v>672</v>
      </c>
      <c r="M29" t="s">
        <v>672</v>
      </c>
      <c r="N29" t="s">
        <v>672</v>
      </c>
      <c r="O29" t="s">
        <v>705</v>
      </c>
      <c r="P29" t="s">
        <v>672</v>
      </c>
      <c r="Q29" t="s">
        <v>672</v>
      </c>
      <c r="R29" t="s">
        <v>672</v>
      </c>
      <c r="S29">
        <v>2722527459</v>
      </c>
      <c r="T29">
        <v>54</v>
      </c>
      <c r="U29" t="s">
        <v>673</v>
      </c>
      <c r="V29" t="s">
        <v>672</v>
      </c>
      <c r="W29" t="s">
        <v>672</v>
      </c>
      <c r="X29" t="s">
        <v>799</v>
      </c>
      <c r="Y29" t="s">
        <v>672</v>
      </c>
      <c r="Z29" s="1">
        <v>44197</v>
      </c>
      <c r="AA29">
        <v>1</v>
      </c>
    </row>
    <row r="30" spans="1:27">
      <c r="A30" t="s">
        <v>804</v>
      </c>
      <c r="B30">
        <v>29</v>
      </c>
      <c r="C30" t="s">
        <v>802</v>
      </c>
      <c r="D30" t="str">
        <f>VLOOKUP('[1]tblclients (1)'!A30,[1]Feuil1!$A$1:$G$203,4,0)</f>
        <v>DCK</v>
      </c>
      <c r="E30" t="s">
        <v>672</v>
      </c>
      <c r="F30" t="s">
        <v>672</v>
      </c>
      <c r="G30" t="s">
        <v>805</v>
      </c>
      <c r="H30" t="s">
        <v>806</v>
      </c>
      <c r="I30" t="s">
        <v>672</v>
      </c>
      <c r="J30" t="s">
        <v>676</v>
      </c>
      <c r="K30" t="s">
        <v>677</v>
      </c>
      <c r="L30" t="s">
        <v>672</v>
      </c>
      <c r="M30" t="s">
        <v>672</v>
      </c>
      <c r="N30" t="s">
        <v>672</v>
      </c>
      <c r="O30" t="s">
        <v>678</v>
      </c>
      <c r="P30" t="s">
        <v>672</v>
      </c>
      <c r="Q30" t="s">
        <v>672</v>
      </c>
      <c r="R30" t="s">
        <v>672</v>
      </c>
      <c r="S30">
        <v>708302596</v>
      </c>
      <c r="T30">
        <v>54</v>
      </c>
      <c r="U30" t="s">
        <v>673</v>
      </c>
      <c r="V30" t="s">
        <v>672</v>
      </c>
      <c r="W30" t="s">
        <v>672</v>
      </c>
      <c r="X30" t="s">
        <v>803</v>
      </c>
      <c r="Y30" t="s">
        <v>672</v>
      </c>
      <c r="Z30" s="1">
        <v>44197</v>
      </c>
      <c r="AA30">
        <v>1</v>
      </c>
    </row>
    <row r="31" spans="1:27">
      <c r="A31" t="s">
        <v>808</v>
      </c>
      <c r="B31">
        <v>30</v>
      </c>
      <c r="C31" t="s">
        <v>2132</v>
      </c>
      <c r="D31" t="str">
        <f>VLOOKUP('[1]tblclients (1)'!A31,[1]Feuil1!$A$1:$G$203,4,0)</f>
        <v>DCK</v>
      </c>
      <c r="E31" t="s">
        <v>672</v>
      </c>
      <c r="F31" t="s">
        <v>672</v>
      </c>
      <c r="G31" t="s">
        <v>809</v>
      </c>
      <c r="H31" t="s">
        <v>810</v>
      </c>
      <c r="I31" t="s">
        <v>672</v>
      </c>
      <c r="J31" t="s">
        <v>2133</v>
      </c>
      <c r="K31" t="s">
        <v>677</v>
      </c>
      <c r="L31" t="s">
        <v>672</v>
      </c>
      <c r="M31" t="s">
        <v>672</v>
      </c>
      <c r="N31" t="s">
        <v>672</v>
      </c>
      <c r="O31" t="s">
        <v>678</v>
      </c>
      <c r="P31" t="s">
        <v>672</v>
      </c>
      <c r="Q31" t="s">
        <v>672</v>
      </c>
      <c r="R31" t="s">
        <v>672</v>
      </c>
      <c r="S31">
        <v>2522014025</v>
      </c>
      <c r="T31">
        <v>54</v>
      </c>
      <c r="U31" t="s">
        <v>673</v>
      </c>
      <c r="V31" t="s">
        <v>672</v>
      </c>
      <c r="W31" t="s">
        <v>672</v>
      </c>
      <c r="X31" t="s">
        <v>807</v>
      </c>
      <c r="Y31" t="s">
        <v>672</v>
      </c>
      <c r="Z31" s="1">
        <v>44197</v>
      </c>
      <c r="AA31">
        <v>1</v>
      </c>
    </row>
    <row r="32" spans="1:27">
      <c r="A32" t="s">
        <v>554</v>
      </c>
      <c r="B32">
        <v>31</v>
      </c>
      <c r="C32" t="s">
        <v>555</v>
      </c>
      <c r="D32" t="str">
        <f>VLOOKUP('[1]tblclients (1)'!A32,[1]Feuil1!$A$1:$G$203,4,0)</f>
        <v>DCK</v>
      </c>
      <c r="E32" t="s">
        <v>2134</v>
      </c>
      <c r="F32" t="s">
        <v>2135</v>
      </c>
      <c r="G32" t="s">
        <v>813</v>
      </c>
      <c r="H32" t="s">
        <v>814</v>
      </c>
      <c r="I32" t="s">
        <v>812</v>
      </c>
      <c r="J32" t="s">
        <v>704</v>
      </c>
      <c r="K32" t="s">
        <v>677</v>
      </c>
      <c r="L32" t="s">
        <v>815</v>
      </c>
      <c r="M32" t="s">
        <v>775</v>
      </c>
      <c r="N32">
        <v>281</v>
      </c>
      <c r="O32" t="s">
        <v>687</v>
      </c>
      <c r="P32" t="s">
        <v>816</v>
      </c>
      <c r="Q32" s="2">
        <v>1000000</v>
      </c>
      <c r="R32" t="s">
        <v>681</v>
      </c>
      <c r="S32">
        <v>2722594787</v>
      </c>
      <c r="T32">
        <v>54</v>
      </c>
      <c r="U32" t="s">
        <v>673</v>
      </c>
      <c r="W32" t="s">
        <v>811</v>
      </c>
      <c r="X32" t="s">
        <v>770</v>
      </c>
      <c r="Y32" t="s">
        <v>681</v>
      </c>
      <c r="Z32" s="1">
        <v>44197</v>
      </c>
      <c r="AA32">
        <v>1</v>
      </c>
    </row>
    <row r="33" spans="1:27">
      <c r="A33" t="s">
        <v>476</v>
      </c>
      <c r="B33">
        <v>32</v>
      </c>
      <c r="C33" t="s">
        <v>477</v>
      </c>
      <c r="D33" t="str">
        <f>VLOOKUP('[1]tblclients (1)'!A33,[1]Feuil1!$A$1:$G$203,4,0)</f>
        <v>DCK</v>
      </c>
      <c r="E33" t="s">
        <v>672</v>
      </c>
      <c r="F33" t="s">
        <v>672</v>
      </c>
      <c r="G33" t="s">
        <v>818</v>
      </c>
      <c r="H33" t="s">
        <v>819</v>
      </c>
      <c r="I33" t="s">
        <v>672</v>
      </c>
      <c r="J33" t="s">
        <v>704</v>
      </c>
      <c r="K33" t="s">
        <v>677</v>
      </c>
      <c r="L33" t="s">
        <v>672</v>
      </c>
      <c r="M33" t="s">
        <v>672</v>
      </c>
      <c r="N33" t="s">
        <v>672</v>
      </c>
      <c r="O33" t="s">
        <v>798</v>
      </c>
      <c r="P33" t="s">
        <v>672</v>
      </c>
      <c r="Q33" t="s">
        <v>672</v>
      </c>
      <c r="R33" t="s">
        <v>672</v>
      </c>
      <c r="S33">
        <v>707053694</v>
      </c>
      <c r="T33">
        <v>54</v>
      </c>
      <c r="U33" t="s">
        <v>673</v>
      </c>
      <c r="V33" t="s">
        <v>672</v>
      </c>
      <c r="W33" t="s">
        <v>672</v>
      </c>
      <c r="X33" t="s">
        <v>817</v>
      </c>
      <c r="Y33" t="s">
        <v>672</v>
      </c>
      <c r="Z33" s="1">
        <v>44197</v>
      </c>
      <c r="AA33">
        <v>1</v>
      </c>
    </row>
    <row r="34" spans="1:27">
      <c r="A34" t="s">
        <v>302</v>
      </c>
      <c r="B34">
        <v>33</v>
      </c>
      <c r="C34" t="s">
        <v>820</v>
      </c>
      <c r="D34" t="str">
        <f>VLOOKUP('[1]tblclients (1)'!A34,[1]Feuil1!$A$1:$G$203,4,0)</f>
        <v>DCK</v>
      </c>
      <c r="E34" t="s">
        <v>672</v>
      </c>
      <c r="F34" t="s">
        <v>672</v>
      </c>
      <c r="G34" t="s">
        <v>821</v>
      </c>
      <c r="H34" t="s">
        <v>822</v>
      </c>
      <c r="I34" t="s">
        <v>672</v>
      </c>
      <c r="J34" t="s">
        <v>676</v>
      </c>
      <c r="K34" t="s">
        <v>677</v>
      </c>
      <c r="L34" t="s">
        <v>672</v>
      </c>
      <c r="M34" t="s">
        <v>672</v>
      </c>
      <c r="N34" t="s">
        <v>672</v>
      </c>
      <c r="O34" t="s">
        <v>678</v>
      </c>
      <c r="P34" t="s">
        <v>672</v>
      </c>
      <c r="Q34" t="s">
        <v>672</v>
      </c>
      <c r="R34" t="s">
        <v>672</v>
      </c>
      <c r="S34">
        <v>749820808</v>
      </c>
      <c r="T34">
        <v>54</v>
      </c>
      <c r="U34" t="s">
        <v>673</v>
      </c>
      <c r="V34" t="s">
        <v>672</v>
      </c>
      <c r="W34" t="s">
        <v>672</v>
      </c>
      <c r="X34" t="s">
        <v>717</v>
      </c>
      <c r="Y34" t="s">
        <v>672</v>
      </c>
      <c r="Z34" s="1">
        <v>44224</v>
      </c>
      <c r="AA34">
        <v>1</v>
      </c>
    </row>
    <row r="35" spans="1:27">
      <c r="A35" t="s">
        <v>126</v>
      </c>
      <c r="B35">
        <v>34</v>
      </c>
      <c r="C35" t="s">
        <v>823</v>
      </c>
      <c r="D35" t="str">
        <f>VLOOKUP('[1]tblclients (1)'!A35,[1]Feuil1!$A$1:$G$203,4,0)</f>
        <v>DCK</v>
      </c>
      <c r="E35" t="s">
        <v>672</v>
      </c>
      <c r="F35" t="s">
        <v>672</v>
      </c>
      <c r="G35" t="s">
        <v>825</v>
      </c>
      <c r="H35" t="s">
        <v>826</v>
      </c>
      <c r="I35" t="s">
        <v>672</v>
      </c>
      <c r="J35" t="s">
        <v>704</v>
      </c>
      <c r="K35" t="s">
        <v>677</v>
      </c>
      <c r="L35" t="s">
        <v>672</v>
      </c>
      <c r="M35" t="s">
        <v>672</v>
      </c>
      <c r="N35" t="s">
        <v>672</v>
      </c>
      <c r="O35" t="s">
        <v>678</v>
      </c>
      <c r="P35" t="s">
        <v>672</v>
      </c>
      <c r="Q35" t="s">
        <v>672</v>
      </c>
      <c r="R35" t="s">
        <v>672</v>
      </c>
      <c r="S35">
        <v>77767968</v>
      </c>
      <c r="T35">
        <v>54</v>
      </c>
      <c r="U35" t="s">
        <v>673</v>
      </c>
      <c r="V35" t="s">
        <v>672</v>
      </c>
      <c r="W35" t="s">
        <v>672</v>
      </c>
      <c r="X35" t="s">
        <v>824</v>
      </c>
      <c r="Y35" t="s">
        <v>672</v>
      </c>
      <c r="Z35" s="1">
        <v>44224</v>
      </c>
      <c r="AA35">
        <v>1</v>
      </c>
    </row>
    <row r="36" spans="1:27">
      <c r="A36" t="s">
        <v>146</v>
      </c>
      <c r="B36">
        <v>35</v>
      </c>
      <c r="C36" t="s">
        <v>827</v>
      </c>
      <c r="D36" t="str">
        <f>VLOOKUP('[1]tblclients (1)'!A36,[1]Feuil1!$A$1:$G$203,4,0)</f>
        <v>DCK</v>
      </c>
      <c r="E36" t="s">
        <v>19</v>
      </c>
      <c r="F36" t="s">
        <v>2127</v>
      </c>
      <c r="G36" t="s">
        <v>831</v>
      </c>
      <c r="H36" t="s">
        <v>832</v>
      </c>
      <c r="I36" t="s">
        <v>830</v>
      </c>
      <c r="J36" t="s">
        <v>704</v>
      </c>
      <c r="K36" t="s">
        <v>677</v>
      </c>
      <c r="L36" t="s">
        <v>833</v>
      </c>
      <c r="M36" t="s">
        <v>681</v>
      </c>
      <c r="N36" t="s">
        <v>681</v>
      </c>
      <c r="O36" t="s">
        <v>834</v>
      </c>
      <c r="P36" t="s">
        <v>835</v>
      </c>
      <c r="Q36" s="2">
        <v>5000000</v>
      </c>
      <c r="R36" t="s">
        <v>681</v>
      </c>
      <c r="S36">
        <v>707830824</v>
      </c>
      <c r="T36">
        <v>54</v>
      </c>
      <c r="U36" t="s">
        <v>673</v>
      </c>
      <c r="V36" t="s">
        <v>829</v>
      </c>
      <c r="W36" t="s">
        <v>681</v>
      </c>
      <c r="X36" t="s">
        <v>828</v>
      </c>
      <c r="Y36" t="s">
        <v>681</v>
      </c>
      <c r="Z36" s="1">
        <v>44224</v>
      </c>
      <c r="AA36">
        <v>1</v>
      </c>
    </row>
    <row r="37" spans="1:27">
      <c r="A37" t="s">
        <v>328</v>
      </c>
      <c r="B37">
        <v>36</v>
      </c>
      <c r="C37" t="s">
        <v>836</v>
      </c>
      <c r="D37" t="str">
        <f>VLOOKUP('[1]tblclients (1)'!A37,[1]Feuil1!$A$1:$G$203,4,0)</f>
        <v>DCK</v>
      </c>
      <c r="E37" t="s">
        <v>672</v>
      </c>
      <c r="F37" t="s">
        <v>672</v>
      </c>
      <c r="G37" t="s">
        <v>838</v>
      </c>
      <c r="H37" t="s">
        <v>839</v>
      </c>
      <c r="I37" t="s">
        <v>672</v>
      </c>
      <c r="J37" t="s">
        <v>704</v>
      </c>
      <c r="K37" t="s">
        <v>712</v>
      </c>
      <c r="L37" t="s">
        <v>672</v>
      </c>
      <c r="M37" t="s">
        <v>672</v>
      </c>
      <c r="N37" t="s">
        <v>672</v>
      </c>
      <c r="O37" t="s">
        <v>705</v>
      </c>
      <c r="P37" t="s">
        <v>672</v>
      </c>
      <c r="Q37" t="s">
        <v>672</v>
      </c>
      <c r="R37" t="s">
        <v>672</v>
      </c>
      <c r="S37">
        <v>2722427504</v>
      </c>
      <c r="T37">
        <v>54</v>
      </c>
      <c r="U37" t="s">
        <v>673</v>
      </c>
      <c r="V37" t="s">
        <v>672</v>
      </c>
      <c r="W37" t="s">
        <v>672</v>
      </c>
      <c r="X37" t="s">
        <v>2136</v>
      </c>
      <c r="Y37" t="s">
        <v>672</v>
      </c>
      <c r="Z37" s="1">
        <v>44264</v>
      </c>
      <c r="AA37">
        <v>1</v>
      </c>
    </row>
    <row r="38" spans="1:27">
      <c r="A38" t="s">
        <v>106</v>
      </c>
      <c r="B38">
        <v>37</v>
      </c>
      <c r="C38" t="s">
        <v>107</v>
      </c>
      <c r="D38" t="str">
        <f>VLOOKUP('[1]tblclients (1)'!A38,[1]Feuil1!$A$1:$G$203,4,0)</f>
        <v>DCK</v>
      </c>
      <c r="E38" t="s">
        <v>672</v>
      </c>
      <c r="F38" t="s">
        <v>672</v>
      </c>
      <c r="G38" t="s">
        <v>841</v>
      </c>
      <c r="H38" t="s">
        <v>842</v>
      </c>
      <c r="I38" t="s">
        <v>672</v>
      </c>
      <c r="J38" t="s">
        <v>704</v>
      </c>
      <c r="K38" t="s">
        <v>677</v>
      </c>
      <c r="L38" t="s">
        <v>672</v>
      </c>
      <c r="M38" t="s">
        <v>672</v>
      </c>
      <c r="N38" t="s">
        <v>672</v>
      </c>
      <c r="O38" t="s">
        <v>798</v>
      </c>
      <c r="P38" t="s">
        <v>672</v>
      </c>
      <c r="Q38" t="s">
        <v>672</v>
      </c>
      <c r="R38" t="s">
        <v>672</v>
      </c>
      <c r="S38">
        <v>566284952</v>
      </c>
      <c r="T38">
        <v>54</v>
      </c>
      <c r="U38" t="s">
        <v>673</v>
      </c>
      <c r="V38" t="s">
        <v>672</v>
      </c>
      <c r="W38" t="s">
        <v>672</v>
      </c>
      <c r="X38" t="s">
        <v>840</v>
      </c>
      <c r="Y38" t="s">
        <v>672</v>
      </c>
      <c r="Z38" s="1">
        <v>44564</v>
      </c>
      <c r="AA38">
        <v>1</v>
      </c>
    </row>
    <row r="39" spans="1:27">
      <c r="A39" t="s">
        <v>20</v>
      </c>
      <c r="B39">
        <v>38</v>
      </c>
      <c r="C39" t="s">
        <v>21</v>
      </c>
      <c r="D39" t="str">
        <f>VLOOKUP('[1]tblclients (1)'!A39,[1]Feuil1!$A$1:$G$203,4,0)</f>
        <v>DCK</v>
      </c>
      <c r="E39" t="s">
        <v>672</v>
      </c>
      <c r="F39" t="s">
        <v>672</v>
      </c>
      <c r="G39" t="s">
        <v>844</v>
      </c>
      <c r="H39" t="s">
        <v>845</v>
      </c>
      <c r="I39" t="s">
        <v>672</v>
      </c>
      <c r="J39" t="s">
        <v>676</v>
      </c>
      <c r="K39" t="s">
        <v>677</v>
      </c>
      <c r="L39" t="s">
        <v>672</v>
      </c>
      <c r="M39" t="s">
        <v>672</v>
      </c>
      <c r="N39" t="s">
        <v>672</v>
      </c>
      <c r="O39" t="s">
        <v>798</v>
      </c>
      <c r="P39" t="s">
        <v>672</v>
      </c>
      <c r="Q39" t="s">
        <v>672</v>
      </c>
      <c r="R39" t="s">
        <v>672</v>
      </c>
      <c r="S39">
        <v>778120796</v>
      </c>
      <c r="T39">
        <v>54</v>
      </c>
      <c r="U39" t="s">
        <v>673</v>
      </c>
      <c r="V39" t="s">
        <v>672</v>
      </c>
      <c r="W39" t="s">
        <v>672</v>
      </c>
      <c r="X39" t="s">
        <v>843</v>
      </c>
      <c r="Y39" t="s">
        <v>672</v>
      </c>
      <c r="Z39" s="1">
        <v>44574</v>
      </c>
      <c r="AA39">
        <v>1</v>
      </c>
    </row>
    <row r="40" spans="1:27">
      <c r="A40" t="s">
        <v>120</v>
      </c>
      <c r="B40">
        <v>39</v>
      </c>
      <c r="C40" t="s">
        <v>121</v>
      </c>
      <c r="D40" t="str">
        <f>VLOOKUP('[1]tblclients (1)'!A40,[1]Feuil1!$A$1:$G$203,4,0)</f>
        <v>DCK</v>
      </c>
      <c r="E40" t="s">
        <v>672</v>
      </c>
      <c r="F40" t="s">
        <v>672</v>
      </c>
      <c r="G40" t="s">
        <v>847</v>
      </c>
      <c r="H40" t="s">
        <v>848</v>
      </c>
      <c r="I40" t="s">
        <v>672</v>
      </c>
      <c r="J40" t="s">
        <v>704</v>
      </c>
      <c r="K40" t="s">
        <v>677</v>
      </c>
      <c r="L40" t="s">
        <v>672</v>
      </c>
      <c r="M40" t="s">
        <v>672</v>
      </c>
      <c r="N40" t="s">
        <v>672</v>
      </c>
      <c r="O40" t="s">
        <v>705</v>
      </c>
      <c r="P40" t="s">
        <v>672</v>
      </c>
      <c r="Q40" t="s">
        <v>672</v>
      </c>
      <c r="R40" t="s">
        <v>672</v>
      </c>
      <c r="S40">
        <v>103041792</v>
      </c>
      <c r="T40">
        <v>54</v>
      </c>
      <c r="U40" t="s">
        <v>673</v>
      </c>
      <c r="V40" t="s">
        <v>672</v>
      </c>
      <c r="W40" t="s">
        <v>672</v>
      </c>
      <c r="X40" t="s">
        <v>846</v>
      </c>
      <c r="Y40" t="s">
        <v>672</v>
      </c>
      <c r="Z40" s="1">
        <v>44588</v>
      </c>
      <c r="AA40">
        <v>1</v>
      </c>
    </row>
    <row r="41" spans="1:27">
      <c r="A41" t="s">
        <v>199</v>
      </c>
      <c r="B41">
        <v>40</v>
      </c>
      <c r="C41" t="s">
        <v>200</v>
      </c>
      <c r="D41" t="str">
        <f>VLOOKUP('[1]tblclients (1)'!A41,[1]Feuil1!$A$1:$G$203,4,0)</f>
        <v>DCK</v>
      </c>
      <c r="E41" t="s">
        <v>672</v>
      </c>
      <c r="F41" t="s">
        <v>672</v>
      </c>
      <c r="G41" t="s">
        <v>850</v>
      </c>
      <c r="H41" t="s">
        <v>851</v>
      </c>
      <c r="I41" t="s">
        <v>672</v>
      </c>
      <c r="J41" t="s">
        <v>704</v>
      </c>
      <c r="K41" t="s">
        <v>677</v>
      </c>
      <c r="L41" t="s">
        <v>672</v>
      </c>
      <c r="M41" t="s">
        <v>672</v>
      </c>
      <c r="N41" t="s">
        <v>672</v>
      </c>
      <c r="O41" t="s">
        <v>750</v>
      </c>
      <c r="P41" t="s">
        <v>672</v>
      </c>
      <c r="Q41" t="s">
        <v>672</v>
      </c>
      <c r="R41" t="s">
        <v>672</v>
      </c>
      <c r="S41">
        <v>707102042</v>
      </c>
      <c r="T41">
        <v>54</v>
      </c>
      <c r="U41" t="s">
        <v>673</v>
      </c>
      <c r="V41" t="s">
        <v>672</v>
      </c>
      <c r="W41" t="s">
        <v>672</v>
      </c>
      <c r="X41" t="s">
        <v>849</v>
      </c>
      <c r="Y41" t="s">
        <v>672</v>
      </c>
      <c r="Z41" s="1">
        <v>44628</v>
      </c>
      <c r="AA41">
        <v>1</v>
      </c>
    </row>
    <row r="42" spans="1:27">
      <c r="A42" t="s">
        <v>390</v>
      </c>
      <c r="B42">
        <v>41</v>
      </c>
      <c r="C42" t="s">
        <v>391</v>
      </c>
      <c r="D42" t="str">
        <f>VLOOKUP('[1]tblclients (1)'!A42,[1]Feuil1!$A$1:$G$203,4,0)</f>
        <v>DCK</v>
      </c>
      <c r="E42" t="s">
        <v>672</v>
      </c>
      <c r="F42" t="s">
        <v>672</v>
      </c>
      <c r="G42" t="s">
        <v>853</v>
      </c>
      <c r="H42" t="s">
        <v>854</v>
      </c>
      <c r="I42" t="s">
        <v>672</v>
      </c>
      <c r="J42" t="s">
        <v>676</v>
      </c>
      <c r="K42" t="s">
        <v>677</v>
      </c>
      <c r="L42" t="s">
        <v>672</v>
      </c>
      <c r="M42" t="s">
        <v>672</v>
      </c>
      <c r="N42" t="s">
        <v>672</v>
      </c>
      <c r="O42" t="s">
        <v>705</v>
      </c>
      <c r="P42" t="s">
        <v>672</v>
      </c>
      <c r="Q42" t="s">
        <v>672</v>
      </c>
      <c r="R42" t="s">
        <v>672</v>
      </c>
      <c r="S42">
        <v>757284028</v>
      </c>
      <c r="T42">
        <v>54</v>
      </c>
      <c r="U42" t="s">
        <v>673</v>
      </c>
      <c r="V42" t="s">
        <v>672</v>
      </c>
      <c r="W42" t="s">
        <v>672</v>
      </c>
      <c r="X42" t="s">
        <v>852</v>
      </c>
      <c r="Y42" t="s">
        <v>672</v>
      </c>
      <c r="Z42" s="1">
        <v>44680</v>
      </c>
      <c r="AA42">
        <v>1</v>
      </c>
    </row>
    <row r="43" spans="1:27">
      <c r="A43" t="s">
        <v>508</v>
      </c>
      <c r="B43">
        <v>42</v>
      </c>
      <c r="C43" t="s">
        <v>509</v>
      </c>
      <c r="D43" t="str">
        <f>VLOOKUP('[1]tblclients (1)'!A43,[1]Feuil1!$A$1:$G$203,4,0)</f>
        <v>DCK</v>
      </c>
      <c r="E43" t="s">
        <v>672</v>
      </c>
      <c r="F43" t="s">
        <v>672</v>
      </c>
      <c r="G43" t="s">
        <v>856</v>
      </c>
      <c r="H43" t="s">
        <v>857</v>
      </c>
      <c r="I43" t="s">
        <v>672</v>
      </c>
      <c r="J43" t="s">
        <v>704</v>
      </c>
      <c r="K43" t="s">
        <v>677</v>
      </c>
      <c r="L43" t="s">
        <v>672</v>
      </c>
      <c r="M43" t="s">
        <v>672</v>
      </c>
      <c r="N43" t="s">
        <v>672</v>
      </c>
      <c r="O43" t="s">
        <v>705</v>
      </c>
      <c r="P43" t="s">
        <v>672</v>
      </c>
      <c r="Q43" t="s">
        <v>672</v>
      </c>
      <c r="R43" t="s">
        <v>672</v>
      </c>
      <c r="S43">
        <v>707578383</v>
      </c>
      <c r="T43">
        <v>54</v>
      </c>
      <c r="U43" t="s">
        <v>673</v>
      </c>
      <c r="V43" t="s">
        <v>672</v>
      </c>
      <c r="W43" t="s">
        <v>672</v>
      </c>
      <c r="X43" t="s">
        <v>855</v>
      </c>
      <c r="Y43" t="s">
        <v>672</v>
      </c>
      <c r="Z43" s="1">
        <v>44680</v>
      </c>
      <c r="AA43">
        <v>1</v>
      </c>
    </row>
    <row r="44" spans="1:27">
      <c r="A44" t="s">
        <v>259</v>
      </c>
      <c r="B44">
        <v>43</v>
      </c>
      <c r="C44" t="s">
        <v>858</v>
      </c>
      <c r="D44" t="str">
        <f>VLOOKUP('[1]tblclients (1)'!A44,[1]Feuil1!$A$1:$G$203,4,0)</f>
        <v>DCK</v>
      </c>
      <c r="E44" t="s">
        <v>672</v>
      </c>
      <c r="F44" t="s">
        <v>672</v>
      </c>
      <c r="G44" t="s">
        <v>860</v>
      </c>
      <c r="H44" t="s">
        <v>861</v>
      </c>
      <c r="I44" t="s">
        <v>672</v>
      </c>
      <c r="J44" t="s">
        <v>704</v>
      </c>
      <c r="K44" t="s">
        <v>677</v>
      </c>
      <c r="L44" t="s">
        <v>672</v>
      </c>
      <c r="M44" t="s">
        <v>672</v>
      </c>
      <c r="N44" t="s">
        <v>672</v>
      </c>
      <c r="O44" t="s">
        <v>678</v>
      </c>
      <c r="P44" t="s">
        <v>672</v>
      </c>
      <c r="Q44" t="s">
        <v>672</v>
      </c>
      <c r="R44" t="s">
        <v>672</v>
      </c>
      <c r="S44">
        <v>707262649</v>
      </c>
      <c r="T44">
        <v>54</v>
      </c>
      <c r="U44" t="s">
        <v>673</v>
      </c>
      <c r="V44" t="s">
        <v>672</v>
      </c>
      <c r="W44" t="s">
        <v>672</v>
      </c>
      <c r="X44" t="s">
        <v>859</v>
      </c>
      <c r="Y44" t="s">
        <v>672</v>
      </c>
      <c r="Z44" s="1">
        <v>44939</v>
      </c>
      <c r="AA44">
        <v>1</v>
      </c>
    </row>
    <row r="45" spans="1:27">
      <c r="A45" t="s">
        <v>233</v>
      </c>
      <c r="B45">
        <v>44</v>
      </c>
      <c r="C45" t="s">
        <v>234</v>
      </c>
      <c r="D45" t="str">
        <f>VLOOKUP('[1]tblclients (1)'!A45,[1]Feuil1!$A$1:$G$203,4,0)</f>
        <v>DCK</v>
      </c>
      <c r="E45" t="s">
        <v>2137</v>
      </c>
      <c r="F45" t="s">
        <v>2127</v>
      </c>
      <c r="G45" t="s">
        <v>866</v>
      </c>
      <c r="H45" t="s">
        <v>867</v>
      </c>
      <c r="I45" t="s">
        <v>865</v>
      </c>
      <c r="J45" t="s">
        <v>704</v>
      </c>
      <c r="K45" t="s">
        <v>677</v>
      </c>
      <c r="L45" t="s">
        <v>868</v>
      </c>
      <c r="M45" t="s">
        <v>869</v>
      </c>
      <c r="N45">
        <v>71</v>
      </c>
      <c r="O45" t="s">
        <v>687</v>
      </c>
      <c r="P45" t="s">
        <v>870</v>
      </c>
      <c r="Q45" s="2">
        <v>1000000</v>
      </c>
      <c r="R45" t="s">
        <v>681</v>
      </c>
      <c r="S45">
        <v>747994794</v>
      </c>
      <c r="T45">
        <v>54</v>
      </c>
      <c r="U45" t="s">
        <v>673</v>
      </c>
      <c r="V45" t="s">
        <v>863</v>
      </c>
      <c r="W45" t="s">
        <v>864</v>
      </c>
      <c r="X45" t="s">
        <v>862</v>
      </c>
      <c r="Y45" t="s">
        <v>681</v>
      </c>
      <c r="Z45" s="1">
        <v>44952</v>
      </c>
      <c r="AA45">
        <v>1</v>
      </c>
    </row>
    <row r="46" spans="1:27">
      <c r="A46" t="s">
        <v>875</v>
      </c>
      <c r="B46">
        <v>45</v>
      </c>
      <c r="C46" t="s">
        <v>871</v>
      </c>
      <c r="D46" t="str">
        <f>VLOOKUP('[1]tblclients (1)'!A46,[1]Feuil1!$A$1:$G$203,4,0)</f>
        <v>DCK</v>
      </c>
      <c r="E46" t="s">
        <v>2138</v>
      </c>
      <c r="F46" t="s">
        <v>2139</v>
      </c>
      <c r="G46" t="s">
        <v>876</v>
      </c>
      <c r="H46" t="s">
        <v>877</v>
      </c>
      <c r="I46" t="s">
        <v>874</v>
      </c>
      <c r="J46" t="s">
        <v>704</v>
      </c>
      <c r="K46" t="s">
        <v>677</v>
      </c>
      <c r="L46" t="s">
        <v>878</v>
      </c>
      <c r="M46" t="s">
        <v>793</v>
      </c>
      <c r="N46">
        <v>527</v>
      </c>
      <c r="O46" t="s">
        <v>687</v>
      </c>
      <c r="P46" t="s">
        <v>879</v>
      </c>
      <c r="Q46" s="2">
        <v>1000000</v>
      </c>
      <c r="R46" t="s">
        <v>681</v>
      </c>
      <c r="S46">
        <v>709310771</v>
      </c>
      <c r="T46">
        <v>54</v>
      </c>
      <c r="U46" t="s">
        <v>673</v>
      </c>
      <c r="V46" t="s">
        <v>873</v>
      </c>
      <c r="W46" t="s">
        <v>681</v>
      </c>
      <c r="X46" t="s">
        <v>872</v>
      </c>
      <c r="Y46" t="s">
        <v>681</v>
      </c>
      <c r="Z46" s="1">
        <v>44952</v>
      </c>
      <c r="AA46">
        <v>1</v>
      </c>
    </row>
    <row r="47" spans="1:27">
      <c r="A47" t="s">
        <v>118</v>
      </c>
      <c r="B47">
        <v>46</v>
      </c>
      <c r="C47" t="s">
        <v>880</v>
      </c>
      <c r="D47" t="str">
        <f>VLOOKUP('[1]tblclients (1)'!A47,[1]Feuil1!$A$1:$G$203,4,0)</f>
        <v>DCK</v>
      </c>
      <c r="E47" t="s">
        <v>2140</v>
      </c>
      <c r="F47" t="s">
        <v>882</v>
      </c>
      <c r="G47" t="s">
        <v>885</v>
      </c>
      <c r="H47" t="s">
        <v>886</v>
      </c>
      <c r="I47" t="s">
        <v>884</v>
      </c>
      <c r="J47" t="s">
        <v>704</v>
      </c>
      <c r="K47" t="s">
        <v>677</v>
      </c>
      <c r="L47" t="s">
        <v>887</v>
      </c>
      <c r="M47" t="s">
        <v>888</v>
      </c>
      <c r="N47">
        <v>73</v>
      </c>
      <c r="O47" t="s">
        <v>687</v>
      </c>
      <c r="P47" t="s">
        <v>889</v>
      </c>
      <c r="Q47" s="2">
        <v>1000000</v>
      </c>
      <c r="R47" t="s">
        <v>681</v>
      </c>
      <c r="S47">
        <v>709310771</v>
      </c>
      <c r="T47">
        <v>54</v>
      </c>
      <c r="U47" t="s">
        <v>673</v>
      </c>
      <c r="V47" t="s">
        <v>883</v>
      </c>
      <c r="W47" t="s">
        <v>681</v>
      </c>
      <c r="X47" t="s">
        <v>881</v>
      </c>
      <c r="Y47" t="s">
        <v>681</v>
      </c>
      <c r="Z47" s="1">
        <v>44953</v>
      </c>
      <c r="AA47">
        <v>1</v>
      </c>
    </row>
    <row r="48" spans="1:27">
      <c r="A48" t="s">
        <v>130</v>
      </c>
      <c r="B48">
        <v>47</v>
      </c>
      <c r="C48" t="s">
        <v>131</v>
      </c>
      <c r="D48" t="str">
        <f>VLOOKUP('[1]tblclients (1)'!A48,[1]Feuil1!$A$1:$G$203,4,0)</f>
        <v>DCK</v>
      </c>
      <c r="E48" t="s">
        <v>2141</v>
      </c>
      <c r="F48" t="s">
        <v>2139</v>
      </c>
      <c r="G48" t="s">
        <v>893</v>
      </c>
      <c r="H48" t="s">
        <v>894</v>
      </c>
      <c r="I48" t="s">
        <v>892</v>
      </c>
      <c r="J48" t="s">
        <v>704</v>
      </c>
      <c r="K48" t="s">
        <v>677</v>
      </c>
      <c r="L48" t="s">
        <v>895</v>
      </c>
      <c r="M48" t="s">
        <v>775</v>
      </c>
      <c r="N48" t="s">
        <v>681</v>
      </c>
      <c r="O48" t="s">
        <v>687</v>
      </c>
      <c r="P48" t="s">
        <v>896</v>
      </c>
      <c r="Q48">
        <v>700000</v>
      </c>
      <c r="R48" t="s">
        <v>681</v>
      </c>
      <c r="S48">
        <v>797923730</v>
      </c>
      <c r="T48">
        <v>54</v>
      </c>
      <c r="U48" t="s">
        <v>673</v>
      </c>
      <c r="V48" t="s">
        <v>891</v>
      </c>
      <c r="W48" t="s">
        <v>681</v>
      </c>
      <c r="X48" t="s">
        <v>890</v>
      </c>
      <c r="Y48" t="s">
        <v>681</v>
      </c>
      <c r="Z48" s="1">
        <v>44953</v>
      </c>
      <c r="AA48">
        <v>1</v>
      </c>
    </row>
    <row r="49" spans="1:27">
      <c r="A49" t="s">
        <v>316</v>
      </c>
      <c r="B49">
        <v>48</v>
      </c>
      <c r="C49" t="s">
        <v>897</v>
      </c>
      <c r="D49" t="str">
        <f>VLOOKUP('[1]tblclients (1)'!A49,[1]Feuil1!$A$1:$G$203,4,0)</f>
        <v>DCK</v>
      </c>
      <c r="E49" t="s">
        <v>2142</v>
      </c>
      <c r="F49" t="s">
        <v>2139</v>
      </c>
      <c r="G49" t="s">
        <v>901</v>
      </c>
      <c r="H49" t="s">
        <v>902</v>
      </c>
      <c r="I49" t="s">
        <v>900</v>
      </c>
      <c r="J49" t="s">
        <v>704</v>
      </c>
      <c r="K49" t="s">
        <v>677</v>
      </c>
      <c r="L49" t="s">
        <v>903</v>
      </c>
      <c r="M49" t="s">
        <v>793</v>
      </c>
      <c r="N49">
        <v>527</v>
      </c>
      <c r="O49" t="s">
        <v>687</v>
      </c>
      <c r="P49" t="s">
        <v>904</v>
      </c>
      <c r="Q49" s="2">
        <v>10000000</v>
      </c>
      <c r="R49" t="s">
        <v>681</v>
      </c>
      <c r="S49">
        <v>708414136</v>
      </c>
      <c r="T49">
        <v>54</v>
      </c>
      <c r="U49" t="s">
        <v>673</v>
      </c>
      <c r="V49" t="s">
        <v>899</v>
      </c>
      <c r="W49" t="s">
        <v>681</v>
      </c>
      <c r="X49" t="s">
        <v>898</v>
      </c>
      <c r="Y49" t="s">
        <v>681</v>
      </c>
      <c r="Z49" s="1">
        <v>44956</v>
      </c>
      <c r="AA49">
        <v>1</v>
      </c>
    </row>
    <row r="50" spans="1:27">
      <c r="A50" t="s">
        <v>46</v>
      </c>
      <c r="B50">
        <v>49</v>
      </c>
      <c r="C50" t="s">
        <v>47</v>
      </c>
      <c r="D50" t="str">
        <f>VLOOKUP('[1]tblclients (1)'!A50,[1]Feuil1!$A$1:$G$203,4,0)</f>
        <v>DCK</v>
      </c>
      <c r="E50" t="s">
        <v>2143</v>
      </c>
      <c r="F50" t="s">
        <v>905</v>
      </c>
      <c r="G50" t="s">
        <v>907</v>
      </c>
      <c r="H50" t="s">
        <v>908</v>
      </c>
      <c r="I50" t="s">
        <v>906</v>
      </c>
      <c r="J50" t="s">
        <v>704</v>
      </c>
      <c r="K50" t="s">
        <v>677</v>
      </c>
      <c r="L50" t="s">
        <v>909</v>
      </c>
      <c r="M50" t="s">
        <v>793</v>
      </c>
      <c r="N50">
        <v>13</v>
      </c>
      <c r="O50" t="s">
        <v>687</v>
      </c>
      <c r="P50" t="s">
        <v>910</v>
      </c>
      <c r="Q50" s="2">
        <v>10000000</v>
      </c>
      <c r="R50" t="s">
        <v>681</v>
      </c>
      <c r="S50">
        <v>708414136</v>
      </c>
      <c r="T50">
        <v>54</v>
      </c>
      <c r="U50" t="s">
        <v>673</v>
      </c>
      <c r="V50" t="s">
        <v>899</v>
      </c>
      <c r="W50" t="s">
        <v>681</v>
      </c>
      <c r="X50" t="s">
        <v>782</v>
      </c>
      <c r="Y50" t="s">
        <v>681</v>
      </c>
      <c r="Z50" s="1">
        <v>44956</v>
      </c>
      <c r="AA50">
        <v>1</v>
      </c>
    </row>
    <row r="51" spans="1:27">
      <c r="A51" t="s">
        <v>560</v>
      </c>
      <c r="B51">
        <v>50</v>
      </c>
      <c r="C51" t="s">
        <v>911</v>
      </c>
      <c r="D51" t="str">
        <f>VLOOKUP('[1]tblclients (1)'!A51,[1]Feuil1!$A$1:$G$203,4,0)</f>
        <v>DCK</v>
      </c>
      <c r="E51" t="s">
        <v>672</v>
      </c>
      <c r="F51" t="s">
        <v>672</v>
      </c>
      <c r="G51" t="s">
        <v>913</v>
      </c>
      <c r="H51" t="s">
        <v>914</v>
      </c>
      <c r="I51" t="s">
        <v>672</v>
      </c>
      <c r="J51" t="s">
        <v>704</v>
      </c>
      <c r="K51" t="s">
        <v>677</v>
      </c>
      <c r="L51" t="s">
        <v>672</v>
      </c>
      <c r="M51" t="s">
        <v>672</v>
      </c>
      <c r="N51" t="s">
        <v>672</v>
      </c>
      <c r="O51" t="s">
        <v>692</v>
      </c>
      <c r="P51" t="s">
        <v>672</v>
      </c>
      <c r="Q51" t="s">
        <v>672</v>
      </c>
      <c r="R51" t="s">
        <v>672</v>
      </c>
      <c r="S51">
        <v>767787637</v>
      </c>
      <c r="T51">
        <v>54</v>
      </c>
      <c r="U51" t="s">
        <v>673</v>
      </c>
      <c r="V51" t="s">
        <v>672</v>
      </c>
      <c r="W51" t="s">
        <v>672</v>
      </c>
      <c r="X51" t="s">
        <v>912</v>
      </c>
      <c r="Y51" t="s">
        <v>672</v>
      </c>
      <c r="Z51" s="1">
        <v>44957</v>
      </c>
      <c r="AA51">
        <v>1</v>
      </c>
    </row>
    <row r="52" spans="1:27">
      <c r="A52" t="s">
        <v>179</v>
      </c>
      <c r="B52">
        <v>51</v>
      </c>
      <c r="C52" t="s">
        <v>915</v>
      </c>
      <c r="D52" t="str">
        <f>VLOOKUP('[1]tblclients (1)'!A52,[1]Feuil1!$A$1:$G$203,4,0)</f>
        <v>DCK</v>
      </c>
      <c r="E52" t="s">
        <v>672</v>
      </c>
      <c r="F52" t="s">
        <v>672</v>
      </c>
      <c r="G52" t="s">
        <v>916</v>
      </c>
      <c r="I52" t="s">
        <v>672</v>
      </c>
      <c r="J52" t="s">
        <v>917</v>
      </c>
      <c r="K52" t="s">
        <v>712</v>
      </c>
      <c r="L52" t="s">
        <v>672</v>
      </c>
      <c r="M52" t="s">
        <v>672</v>
      </c>
      <c r="N52" t="s">
        <v>672</v>
      </c>
      <c r="O52" t="s">
        <v>678</v>
      </c>
      <c r="P52" t="s">
        <v>672</v>
      </c>
      <c r="Q52" t="s">
        <v>672</v>
      </c>
      <c r="R52" t="s">
        <v>672</v>
      </c>
      <c r="S52">
        <v>757315050</v>
      </c>
      <c r="T52">
        <v>54</v>
      </c>
      <c r="U52" t="s">
        <v>673</v>
      </c>
      <c r="V52" t="s">
        <v>672</v>
      </c>
      <c r="W52" t="s">
        <v>672</v>
      </c>
      <c r="X52" t="s">
        <v>717</v>
      </c>
      <c r="Y52" t="s">
        <v>672</v>
      </c>
      <c r="Z52" t="s">
        <v>2144</v>
      </c>
      <c r="AA52">
        <v>1</v>
      </c>
    </row>
    <row r="53" spans="1:27">
      <c r="A53" t="s">
        <v>217</v>
      </c>
      <c r="B53">
        <v>52</v>
      </c>
      <c r="C53" t="s">
        <v>218</v>
      </c>
      <c r="D53" t="str">
        <f>VLOOKUP('[1]tblclients (1)'!A53,[1]Feuil1!$A$1:$G$203,4,0)</f>
        <v>DCK</v>
      </c>
      <c r="E53" t="s">
        <v>2145</v>
      </c>
      <c r="F53" t="s">
        <v>2127</v>
      </c>
      <c r="G53" t="s">
        <v>921</v>
      </c>
      <c r="H53" t="s">
        <v>922</v>
      </c>
      <c r="I53" t="s">
        <v>920</v>
      </c>
      <c r="J53" t="s">
        <v>704</v>
      </c>
      <c r="K53" t="s">
        <v>677</v>
      </c>
      <c r="L53" t="s">
        <v>923</v>
      </c>
      <c r="M53" t="s">
        <v>924</v>
      </c>
      <c r="N53">
        <v>300</v>
      </c>
      <c r="O53" t="s">
        <v>742</v>
      </c>
      <c r="P53" t="s">
        <v>925</v>
      </c>
      <c r="Q53" s="2">
        <v>1000000</v>
      </c>
      <c r="R53" t="s">
        <v>681</v>
      </c>
      <c r="S53">
        <v>708762020</v>
      </c>
      <c r="T53">
        <v>54</v>
      </c>
      <c r="U53" t="s">
        <v>673</v>
      </c>
      <c r="V53" t="s">
        <v>919</v>
      </c>
      <c r="W53" t="s">
        <v>681</v>
      </c>
      <c r="X53" t="s">
        <v>918</v>
      </c>
      <c r="Y53" t="s">
        <v>681</v>
      </c>
      <c r="Z53" s="1">
        <v>43479</v>
      </c>
      <c r="AA53">
        <v>1</v>
      </c>
    </row>
    <row r="54" spans="1:27">
      <c r="A54" t="s">
        <v>356</v>
      </c>
      <c r="B54">
        <v>53</v>
      </c>
      <c r="C54" t="s">
        <v>357</v>
      </c>
      <c r="D54" t="str">
        <f>VLOOKUP('[1]tblclients (1)'!A54,[1]Feuil1!$A$1:$G$203,4,0)</f>
        <v>DCK</v>
      </c>
      <c r="E54" t="s">
        <v>357</v>
      </c>
      <c r="F54" t="s">
        <v>2122</v>
      </c>
      <c r="G54" t="s">
        <v>928</v>
      </c>
      <c r="H54" t="s">
        <v>929</v>
      </c>
      <c r="I54" t="s">
        <v>927</v>
      </c>
      <c r="J54" t="s">
        <v>676</v>
      </c>
      <c r="K54" t="s">
        <v>677</v>
      </c>
      <c r="L54" t="s">
        <v>930</v>
      </c>
      <c r="M54" t="s">
        <v>931</v>
      </c>
      <c r="N54">
        <v>850</v>
      </c>
      <c r="O54" t="s">
        <v>742</v>
      </c>
      <c r="P54" t="s">
        <v>932</v>
      </c>
      <c r="R54" t="s">
        <v>681</v>
      </c>
      <c r="S54">
        <v>565009518</v>
      </c>
      <c r="T54">
        <v>54</v>
      </c>
      <c r="U54" t="s">
        <v>673</v>
      </c>
      <c r="V54" t="s">
        <v>681</v>
      </c>
      <c r="W54" t="s">
        <v>681</v>
      </c>
      <c r="X54" t="s">
        <v>926</v>
      </c>
      <c r="Z54" s="1">
        <v>44224</v>
      </c>
      <c r="AA54">
        <v>1</v>
      </c>
    </row>
    <row r="55" spans="1:27">
      <c r="A55" t="s">
        <v>458</v>
      </c>
      <c r="B55">
        <v>54</v>
      </c>
      <c r="C55" t="s">
        <v>933</v>
      </c>
      <c r="D55" t="str">
        <f>VLOOKUP('[1]tblclients (1)'!A55,[1]Feuil1!$A$1:$G$203,4,0)</f>
        <v>DCK</v>
      </c>
      <c r="E55" t="s">
        <v>933</v>
      </c>
      <c r="F55" t="s">
        <v>2122</v>
      </c>
      <c r="G55" t="s">
        <v>936</v>
      </c>
      <c r="H55" t="s">
        <v>937</v>
      </c>
      <c r="I55" t="s">
        <v>935</v>
      </c>
      <c r="J55" t="s">
        <v>676</v>
      </c>
      <c r="K55" t="s">
        <v>677</v>
      </c>
      <c r="L55" t="s">
        <v>938</v>
      </c>
      <c r="M55" t="s">
        <v>681</v>
      </c>
      <c r="N55" t="s">
        <v>681</v>
      </c>
      <c r="O55" t="s">
        <v>687</v>
      </c>
      <c r="P55" t="s">
        <v>681</v>
      </c>
      <c r="R55" t="s">
        <v>681</v>
      </c>
      <c r="S55">
        <v>2722430459</v>
      </c>
      <c r="T55">
        <v>54</v>
      </c>
      <c r="U55" t="s">
        <v>673</v>
      </c>
      <c r="V55" t="s">
        <v>934</v>
      </c>
      <c r="W55" t="s">
        <v>681</v>
      </c>
      <c r="X55" t="s">
        <v>788</v>
      </c>
      <c r="Z55" s="1">
        <v>44224</v>
      </c>
      <c r="AA55">
        <v>1</v>
      </c>
    </row>
    <row r="56" spans="1:27">
      <c r="A56" t="s">
        <v>181</v>
      </c>
      <c r="B56">
        <v>55</v>
      </c>
      <c r="C56" t="s">
        <v>182</v>
      </c>
      <c r="D56" t="str">
        <f>VLOOKUP('[1]tblclients (1)'!A56,[1]Feuil1!$A$1:$G$203,4,0)</f>
        <v>KOFFI ALBERT</v>
      </c>
      <c r="E56" t="s">
        <v>672</v>
      </c>
      <c r="F56" t="s">
        <v>672</v>
      </c>
      <c r="G56" t="s">
        <v>940</v>
      </c>
      <c r="H56" t="s">
        <v>941</v>
      </c>
      <c r="I56" t="s">
        <v>672</v>
      </c>
      <c r="J56" t="s">
        <v>704</v>
      </c>
      <c r="K56" t="s">
        <v>677</v>
      </c>
      <c r="L56" t="s">
        <v>672</v>
      </c>
      <c r="M56" t="s">
        <v>672</v>
      </c>
      <c r="N56" t="s">
        <v>672</v>
      </c>
      <c r="O56" t="s">
        <v>942</v>
      </c>
      <c r="P56" t="s">
        <v>672</v>
      </c>
      <c r="Q56" t="s">
        <v>672</v>
      </c>
      <c r="R56" t="s">
        <v>672</v>
      </c>
      <c r="S56">
        <v>759166503</v>
      </c>
      <c r="T56">
        <v>54</v>
      </c>
      <c r="U56" t="s">
        <v>673</v>
      </c>
      <c r="V56" t="s">
        <v>672</v>
      </c>
      <c r="W56" t="s">
        <v>672</v>
      </c>
      <c r="X56" t="s">
        <v>939</v>
      </c>
      <c r="Y56" t="s">
        <v>672</v>
      </c>
      <c r="Z56" s="1">
        <v>44935</v>
      </c>
      <c r="AA56">
        <v>1</v>
      </c>
    </row>
    <row r="57" spans="1:27">
      <c r="A57" t="s">
        <v>88</v>
      </c>
      <c r="B57">
        <v>56</v>
      </c>
      <c r="C57" t="s">
        <v>89</v>
      </c>
      <c r="D57" t="str">
        <f>VLOOKUP('[1]tblclients (1)'!A57,[1]Feuil1!$A$1:$G$203,4,0)</f>
        <v>KOFFI ALBERT</v>
      </c>
      <c r="E57" t="s">
        <v>672</v>
      </c>
      <c r="F57" t="s">
        <v>672</v>
      </c>
      <c r="G57" t="s">
        <v>943</v>
      </c>
      <c r="H57" t="s">
        <v>944</v>
      </c>
      <c r="I57" t="s">
        <v>672</v>
      </c>
      <c r="J57" t="s">
        <v>704</v>
      </c>
      <c r="K57" t="s">
        <v>677</v>
      </c>
      <c r="L57" t="s">
        <v>672</v>
      </c>
      <c r="M57" t="s">
        <v>672</v>
      </c>
      <c r="N57" t="s">
        <v>672</v>
      </c>
      <c r="O57" t="s">
        <v>942</v>
      </c>
      <c r="P57" t="s">
        <v>672</v>
      </c>
      <c r="Q57" t="s">
        <v>672</v>
      </c>
      <c r="R57" t="s">
        <v>672</v>
      </c>
      <c r="S57">
        <v>584483480</v>
      </c>
      <c r="T57">
        <v>54</v>
      </c>
      <c r="U57" t="s">
        <v>673</v>
      </c>
      <c r="V57" t="s">
        <v>672</v>
      </c>
      <c r="W57" t="s">
        <v>672</v>
      </c>
      <c r="X57" t="s">
        <v>939</v>
      </c>
      <c r="Y57" t="s">
        <v>672</v>
      </c>
      <c r="Z57" s="1">
        <v>44935</v>
      </c>
      <c r="AA57">
        <v>1</v>
      </c>
    </row>
    <row r="58" spans="1:27">
      <c r="A58" t="s">
        <v>947</v>
      </c>
      <c r="B58">
        <v>57</v>
      </c>
      <c r="C58" t="s">
        <v>945</v>
      </c>
      <c r="D58" t="str">
        <f>VLOOKUP('[1]tblclients (1)'!A58,[1]Feuil1!$A$1:$G$203,4,0)</f>
        <v>KOFFI ALBERT</v>
      </c>
      <c r="E58" t="s">
        <v>672</v>
      </c>
      <c r="F58" t="s">
        <v>672</v>
      </c>
      <c r="G58" t="s">
        <v>948</v>
      </c>
      <c r="H58" t="s">
        <v>949</v>
      </c>
      <c r="I58" t="s">
        <v>672</v>
      </c>
      <c r="J58" t="s">
        <v>704</v>
      </c>
      <c r="K58" t="s">
        <v>677</v>
      </c>
      <c r="L58" t="s">
        <v>672</v>
      </c>
      <c r="M58" t="s">
        <v>672</v>
      </c>
      <c r="N58" t="s">
        <v>672</v>
      </c>
      <c r="O58" t="s">
        <v>942</v>
      </c>
      <c r="P58" t="s">
        <v>672</v>
      </c>
      <c r="Q58" t="s">
        <v>672</v>
      </c>
      <c r="R58" t="s">
        <v>672</v>
      </c>
      <c r="S58">
        <v>777478849</v>
      </c>
      <c r="T58">
        <v>54</v>
      </c>
      <c r="U58" t="s">
        <v>673</v>
      </c>
      <c r="V58" t="s">
        <v>672</v>
      </c>
      <c r="W58" t="s">
        <v>672</v>
      </c>
      <c r="X58" t="s">
        <v>946</v>
      </c>
      <c r="Y58" t="s">
        <v>672</v>
      </c>
      <c r="Z58" s="1">
        <v>44939</v>
      </c>
      <c r="AA58">
        <v>1</v>
      </c>
    </row>
    <row r="59" spans="1:27">
      <c r="A59" t="s">
        <v>372</v>
      </c>
      <c r="B59">
        <v>58</v>
      </c>
      <c r="C59" t="s">
        <v>373</v>
      </c>
      <c r="D59" t="str">
        <f>VLOOKUP('[1]tblclients (1)'!A59,[1]Feuil1!$A$1:$G$203,4,0)</f>
        <v>KOFFI ALBERT</v>
      </c>
      <c r="E59" t="s">
        <v>672</v>
      </c>
      <c r="F59" t="s">
        <v>672</v>
      </c>
      <c r="G59" t="s">
        <v>950</v>
      </c>
      <c r="H59" t="s">
        <v>951</v>
      </c>
      <c r="I59" t="s">
        <v>672</v>
      </c>
      <c r="J59" t="s">
        <v>704</v>
      </c>
      <c r="K59" t="s">
        <v>677</v>
      </c>
      <c r="L59" t="s">
        <v>672</v>
      </c>
      <c r="M59" t="s">
        <v>672</v>
      </c>
      <c r="N59" t="s">
        <v>672</v>
      </c>
      <c r="O59" t="s">
        <v>942</v>
      </c>
      <c r="P59" t="s">
        <v>672</v>
      </c>
      <c r="Q59" t="s">
        <v>672</v>
      </c>
      <c r="R59" t="s">
        <v>672</v>
      </c>
      <c r="S59">
        <v>759484148</v>
      </c>
      <c r="T59">
        <v>54</v>
      </c>
      <c r="U59" t="s">
        <v>673</v>
      </c>
      <c r="V59" t="s">
        <v>672</v>
      </c>
      <c r="W59" t="s">
        <v>672</v>
      </c>
      <c r="X59" t="s">
        <v>939</v>
      </c>
      <c r="Y59" t="s">
        <v>672</v>
      </c>
      <c r="Z59" s="1">
        <v>44939</v>
      </c>
      <c r="AA59">
        <v>1</v>
      </c>
    </row>
    <row r="60" spans="1:27">
      <c r="A60" t="s">
        <v>624</v>
      </c>
      <c r="B60">
        <v>59</v>
      </c>
      <c r="C60" t="s">
        <v>625</v>
      </c>
      <c r="D60" t="str">
        <f>VLOOKUP('[1]tblclients (1)'!A60,[1]Feuil1!$A$1:$G$203,4,0)</f>
        <v>KOFFI ALBERT</v>
      </c>
      <c r="E60" t="s">
        <v>672</v>
      </c>
      <c r="F60" t="s">
        <v>672</v>
      </c>
      <c r="G60" t="s">
        <v>953</v>
      </c>
      <c r="H60" t="s">
        <v>954</v>
      </c>
      <c r="I60" t="s">
        <v>672</v>
      </c>
      <c r="J60" t="s">
        <v>704</v>
      </c>
      <c r="K60" t="s">
        <v>677</v>
      </c>
      <c r="L60" t="s">
        <v>672</v>
      </c>
      <c r="M60" t="s">
        <v>672</v>
      </c>
      <c r="N60" t="s">
        <v>672</v>
      </c>
      <c r="O60" t="s">
        <v>942</v>
      </c>
      <c r="P60" t="s">
        <v>672</v>
      </c>
      <c r="Q60" t="s">
        <v>672</v>
      </c>
      <c r="R60" t="s">
        <v>672</v>
      </c>
      <c r="S60">
        <v>707719065</v>
      </c>
      <c r="T60">
        <v>54</v>
      </c>
      <c r="U60" t="s">
        <v>673</v>
      </c>
      <c r="V60" t="s">
        <v>672</v>
      </c>
      <c r="W60" t="s">
        <v>672</v>
      </c>
      <c r="X60" t="s">
        <v>952</v>
      </c>
      <c r="Y60" t="s">
        <v>672</v>
      </c>
      <c r="Z60" s="1">
        <v>44942</v>
      </c>
      <c r="AA60">
        <v>1</v>
      </c>
    </row>
    <row r="61" spans="1:27">
      <c r="A61" t="s">
        <v>630</v>
      </c>
      <c r="B61">
        <v>60</v>
      </c>
      <c r="C61" t="s">
        <v>955</v>
      </c>
      <c r="D61" t="str">
        <f>VLOOKUP('[1]tblclients (1)'!A61,[1]Feuil1!$A$1:$G$203,4,0)</f>
        <v>KOFFI ALBERT</v>
      </c>
      <c r="E61" t="s">
        <v>672</v>
      </c>
      <c r="F61" t="s">
        <v>672</v>
      </c>
      <c r="G61" t="s">
        <v>956</v>
      </c>
      <c r="H61" t="s">
        <v>957</v>
      </c>
      <c r="I61" t="s">
        <v>672</v>
      </c>
      <c r="J61" t="s">
        <v>704</v>
      </c>
      <c r="K61" t="s">
        <v>677</v>
      </c>
      <c r="L61" t="s">
        <v>672</v>
      </c>
      <c r="M61" t="s">
        <v>672</v>
      </c>
      <c r="N61" t="s">
        <v>672</v>
      </c>
      <c r="O61" t="s">
        <v>942</v>
      </c>
      <c r="P61" t="s">
        <v>672</v>
      </c>
      <c r="Q61" t="s">
        <v>672</v>
      </c>
      <c r="R61" t="s">
        <v>672</v>
      </c>
      <c r="S61">
        <v>789901646</v>
      </c>
      <c r="T61">
        <v>54</v>
      </c>
      <c r="U61" t="s">
        <v>673</v>
      </c>
      <c r="V61" t="s">
        <v>672</v>
      </c>
      <c r="W61" t="s">
        <v>672</v>
      </c>
      <c r="X61" t="s">
        <v>939</v>
      </c>
      <c r="Y61" t="s">
        <v>672</v>
      </c>
      <c r="Z61" s="1">
        <v>44952</v>
      </c>
      <c r="AA61">
        <v>1</v>
      </c>
    </row>
    <row r="62" spans="1:27">
      <c r="A62" t="s">
        <v>590</v>
      </c>
      <c r="B62">
        <v>61</v>
      </c>
      <c r="C62" t="s">
        <v>958</v>
      </c>
      <c r="D62" t="str">
        <f>VLOOKUP('[1]tblclients (1)'!A62,[1]Feuil1!$A$1:$G$203,4,0)</f>
        <v>KOFFI ALBERT</v>
      </c>
      <c r="E62" t="s">
        <v>2146</v>
      </c>
      <c r="F62" t="s">
        <v>882</v>
      </c>
      <c r="G62" t="s">
        <v>960</v>
      </c>
      <c r="H62" t="s">
        <v>961</v>
      </c>
      <c r="J62" t="s">
        <v>704</v>
      </c>
      <c r="K62" t="s">
        <v>677</v>
      </c>
      <c r="S62">
        <v>707719624</v>
      </c>
      <c r="T62">
        <v>54</v>
      </c>
      <c r="U62" t="s">
        <v>673</v>
      </c>
      <c r="X62" t="s">
        <v>959</v>
      </c>
      <c r="Z62" s="1">
        <v>44952</v>
      </c>
      <c r="AA62">
        <v>1</v>
      </c>
    </row>
    <row r="63" spans="1:27">
      <c r="A63" t="s">
        <v>592</v>
      </c>
      <c r="B63">
        <v>62</v>
      </c>
      <c r="C63" t="s">
        <v>593</v>
      </c>
      <c r="D63" t="str">
        <f>VLOOKUP('[1]tblclients (1)'!A63,[1]Feuil1!$A$1:$G$203,4,0)</f>
        <v>KOFFI ALBERT</v>
      </c>
      <c r="E63" t="s">
        <v>672</v>
      </c>
      <c r="F63" t="s">
        <v>672</v>
      </c>
      <c r="G63" t="s">
        <v>962</v>
      </c>
      <c r="H63" t="s">
        <v>963</v>
      </c>
      <c r="I63" t="s">
        <v>672</v>
      </c>
      <c r="J63" t="s">
        <v>704</v>
      </c>
      <c r="K63" t="s">
        <v>677</v>
      </c>
      <c r="L63" t="s">
        <v>672</v>
      </c>
      <c r="M63" t="s">
        <v>672</v>
      </c>
      <c r="N63" t="s">
        <v>672</v>
      </c>
      <c r="O63" t="s">
        <v>942</v>
      </c>
      <c r="P63" t="s">
        <v>672</v>
      </c>
      <c r="Q63" t="s">
        <v>672</v>
      </c>
      <c r="R63" t="s">
        <v>672</v>
      </c>
      <c r="S63">
        <v>708410032</v>
      </c>
      <c r="T63">
        <v>54</v>
      </c>
      <c r="U63" t="s">
        <v>673</v>
      </c>
      <c r="V63" t="s">
        <v>672</v>
      </c>
      <c r="W63" t="s">
        <v>672</v>
      </c>
      <c r="X63" t="s">
        <v>939</v>
      </c>
      <c r="Y63" t="s">
        <v>672</v>
      </c>
      <c r="Z63" s="1">
        <v>44953</v>
      </c>
      <c r="AA63">
        <v>1</v>
      </c>
    </row>
    <row r="64" spans="1:27">
      <c r="A64" t="s">
        <v>558</v>
      </c>
      <c r="B64">
        <v>63</v>
      </c>
      <c r="C64" t="s">
        <v>964</v>
      </c>
      <c r="D64" t="str">
        <f>VLOOKUP('[1]tblclients (1)'!A64,[1]Feuil1!$A$1:$G$203,4,0)</f>
        <v>KOFFI ALBERT</v>
      </c>
      <c r="E64" t="s">
        <v>672</v>
      </c>
      <c r="F64" t="s">
        <v>672</v>
      </c>
      <c r="G64" t="s">
        <v>966</v>
      </c>
      <c r="H64" t="s">
        <v>967</v>
      </c>
      <c r="I64" t="s">
        <v>672</v>
      </c>
      <c r="J64" t="s">
        <v>704</v>
      </c>
      <c r="K64" t="s">
        <v>677</v>
      </c>
      <c r="L64" t="s">
        <v>672</v>
      </c>
      <c r="M64" t="s">
        <v>672</v>
      </c>
      <c r="N64" t="s">
        <v>672</v>
      </c>
      <c r="O64" t="s">
        <v>750</v>
      </c>
      <c r="P64" t="s">
        <v>672</v>
      </c>
      <c r="Q64" t="s">
        <v>672</v>
      </c>
      <c r="R64" t="s">
        <v>672</v>
      </c>
      <c r="S64">
        <v>709340500</v>
      </c>
      <c r="T64">
        <v>54</v>
      </c>
      <c r="U64" t="s">
        <v>673</v>
      </c>
      <c r="V64" t="s">
        <v>672</v>
      </c>
      <c r="W64" t="s">
        <v>672</v>
      </c>
      <c r="X64" t="s">
        <v>965</v>
      </c>
      <c r="Y64" t="s">
        <v>672</v>
      </c>
      <c r="Z64" s="1">
        <v>44953</v>
      </c>
      <c r="AA64">
        <v>1</v>
      </c>
    </row>
    <row r="65" spans="1:27">
      <c r="A65" t="s">
        <v>454</v>
      </c>
      <c r="B65">
        <v>64</v>
      </c>
      <c r="C65" t="s">
        <v>455</v>
      </c>
      <c r="D65" t="str">
        <f>VLOOKUP('[1]tblclients (1)'!A65,[1]Feuil1!$A$1:$G$203,4,0)</f>
        <v>KOFFI ALBERT</v>
      </c>
      <c r="E65" t="s">
        <v>672</v>
      </c>
      <c r="F65" t="s">
        <v>672</v>
      </c>
      <c r="G65" t="s">
        <v>968</v>
      </c>
      <c r="H65" t="s">
        <v>969</v>
      </c>
      <c r="I65" t="s">
        <v>672</v>
      </c>
      <c r="J65" t="s">
        <v>704</v>
      </c>
      <c r="K65" t="s">
        <v>677</v>
      </c>
      <c r="L65" t="s">
        <v>672</v>
      </c>
      <c r="M65" t="s">
        <v>672</v>
      </c>
      <c r="N65" t="s">
        <v>672</v>
      </c>
      <c r="O65" t="s">
        <v>942</v>
      </c>
      <c r="P65" t="s">
        <v>672</v>
      </c>
      <c r="Q65" t="s">
        <v>672</v>
      </c>
      <c r="R65" t="s">
        <v>672</v>
      </c>
      <c r="S65">
        <v>759484148</v>
      </c>
      <c r="T65">
        <v>54</v>
      </c>
      <c r="U65" t="s">
        <v>673</v>
      </c>
      <c r="V65" t="s">
        <v>672</v>
      </c>
      <c r="W65" t="s">
        <v>672</v>
      </c>
      <c r="X65" t="s">
        <v>939</v>
      </c>
      <c r="Y65" t="s">
        <v>672</v>
      </c>
      <c r="Z65" s="1">
        <v>44953</v>
      </c>
      <c r="AA65">
        <v>1</v>
      </c>
    </row>
    <row r="66" spans="1:27">
      <c r="A66" t="s">
        <v>291</v>
      </c>
      <c r="B66">
        <v>65</v>
      </c>
      <c r="C66" t="s">
        <v>970</v>
      </c>
      <c r="D66" t="str">
        <f>VLOOKUP('[1]tblclients (1)'!A66,[1]Feuil1!$A$1:$G$203,4,0)</f>
        <v>KOFFI ALBERT</v>
      </c>
      <c r="E66" t="s">
        <v>672</v>
      </c>
      <c r="F66" t="s">
        <v>672</v>
      </c>
      <c r="G66" t="s">
        <v>971</v>
      </c>
      <c r="H66" t="s">
        <v>972</v>
      </c>
      <c r="I66" t="s">
        <v>672</v>
      </c>
      <c r="J66" t="s">
        <v>704</v>
      </c>
      <c r="K66" t="s">
        <v>677</v>
      </c>
      <c r="L66" t="s">
        <v>672</v>
      </c>
      <c r="M66" t="s">
        <v>672</v>
      </c>
      <c r="N66" t="s">
        <v>672</v>
      </c>
      <c r="O66" t="s">
        <v>942</v>
      </c>
      <c r="P66" t="s">
        <v>672</v>
      </c>
      <c r="Q66" t="s">
        <v>672</v>
      </c>
      <c r="R66" t="s">
        <v>672</v>
      </c>
      <c r="S66">
        <v>505095033</v>
      </c>
      <c r="T66">
        <v>54</v>
      </c>
      <c r="U66" t="s">
        <v>673</v>
      </c>
      <c r="V66" t="s">
        <v>672</v>
      </c>
      <c r="W66" t="s">
        <v>672</v>
      </c>
      <c r="X66" t="s">
        <v>939</v>
      </c>
      <c r="Y66" t="s">
        <v>672</v>
      </c>
      <c r="Z66" s="1">
        <v>44953</v>
      </c>
      <c r="AA66">
        <v>1</v>
      </c>
    </row>
    <row r="67" spans="1:27">
      <c r="A67" t="s">
        <v>616</v>
      </c>
      <c r="B67">
        <v>66</v>
      </c>
      <c r="C67" t="s">
        <v>973</v>
      </c>
      <c r="D67" t="str">
        <f>VLOOKUP('[1]tblclients (1)'!A67,[1]Feuil1!$A$1:$G$203,4,0)</f>
        <v>KOFFI ALBERT</v>
      </c>
      <c r="E67" t="s">
        <v>672</v>
      </c>
      <c r="F67" t="s">
        <v>672</v>
      </c>
      <c r="G67" t="s">
        <v>975</v>
      </c>
      <c r="H67" t="s">
        <v>976</v>
      </c>
      <c r="I67" t="s">
        <v>672</v>
      </c>
      <c r="J67" t="s">
        <v>676</v>
      </c>
      <c r="K67" t="s">
        <v>677</v>
      </c>
      <c r="L67" t="s">
        <v>672</v>
      </c>
      <c r="M67" t="s">
        <v>672</v>
      </c>
      <c r="N67" t="s">
        <v>672</v>
      </c>
      <c r="O67" t="s">
        <v>750</v>
      </c>
      <c r="P67" t="s">
        <v>672</v>
      </c>
      <c r="Q67" t="s">
        <v>672</v>
      </c>
      <c r="R67" t="s">
        <v>672</v>
      </c>
      <c r="S67">
        <v>102942319</v>
      </c>
      <c r="T67">
        <v>54</v>
      </c>
      <c r="U67" t="s">
        <v>673</v>
      </c>
      <c r="V67" t="s">
        <v>672</v>
      </c>
      <c r="W67" t="s">
        <v>672</v>
      </c>
      <c r="X67" t="s">
        <v>974</v>
      </c>
      <c r="Y67" t="s">
        <v>672</v>
      </c>
      <c r="Z67" s="1">
        <v>44953</v>
      </c>
      <c r="AA67">
        <v>1</v>
      </c>
    </row>
    <row r="68" spans="1:27">
      <c r="A68" t="s">
        <v>368</v>
      </c>
      <c r="B68">
        <v>67</v>
      </c>
      <c r="C68" t="s">
        <v>977</v>
      </c>
      <c r="D68" t="str">
        <f>VLOOKUP('[1]tblclients (1)'!A68,[1]Feuil1!$A$1:$G$203,4,0)</f>
        <v>KOFFI ALBERT</v>
      </c>
      <c r="E68" t="s">
        <v>672</v>
      </c>
      <c r="F68" t="s">
        <v>672</v>
      </c>
      <c r="G68" t="s">
        <v>979</v>
      </c>
      <c r="H68" t="s">
        <v>980</v>
      </c>
      <c r="I68" t="s">
        <v>672</v>
      </c>
      <c r="J68" t="s">
        <v>704</v>
      </c>
      <c r="K68" t="s">
        <v>677</v>
      </c>
      <c r="L68" t="s">
        <v>672</v>
      </c>
      <c r="M68" t="s">
        <v>672</v>
      </c>
      <c r="N68" t="s">
        <v>672</v>
      </c>
      <c r="O68" t="s">
        <v>942</v>
      </c>
      <c r="P68" t="s">
        <v>672</v>
      </c>
      <c r="Q68" t="s">
        <v>672</v>
      </c>
      <c r="R68" t="s">
        <v>672</v>
      </c>
      <c r="S68">
        <v>565117105</v>
      </c>
      <c r="T68">
        <v>54</v>
      </c>
      <c r="U68" t="s">
        <v>673</v>
      </c>
      <c r="V68" t="s">
        <v>672</v>
      </c>
      <c r="W68" t="s">
        <v>672</v>
      </c>
      <c r="X68" t="s">
        <v>978</v>
      </c>
      <c r="Y68" t="s">
        <v>672</v>
      </c>
      <c r="Z68" s="1">
        <v>44953</v>
      </c>
      <c r="AA68">
        <v>1</v>
      </c>
    </row>
    <row r="69" spans="1:27">
      <c r="A69" t="s">
        <v>412</v>
      </c>
      <c r="B69">
        <v>68</v>
      </c>
      <c r="C69" t="s">
        <v>981</v>
      </c>
      <c r="D69" t="str">
        <f>VLOOKUP('[1]tblclients (1)'!A69,[1]Feuil1!$A$1:$G$203,4,0)</f>
        <v>KOFFI ALBERT</v>
      </c>
      <c r="E69" t="s">
        <v>672</v>
      </c>
      <c r="F69" t="s">
        <v>672</v>
      </c>
      <c r="G69" t="s">
        <v>983</v>
      </c>
      <c r="H69" t="s">
        <v>984</v>
      </c>
      <c r="I69" t="s">
        <v>672</v>
      </c>
      <c r="J69" t="s">
        <v>704</v>
      </c>
      <c r="K69" t="s">
        <v>677</v>
      </c>
      <c r="L69" t="s">
        <v>672</v>
      </c>
      <c r="M69" t="s">
        <v>672</v>
      </c>
      <c r="N69" t="s">
        <v>672</v>
      </c>
      <c r="O69" t="s">
        <v>942</v>
      </c>
      <c r="P69" t="s">
        <v>672</v>
      </c>
      <c r="Q69" t="s">
        <v>672</v>
      </c>
      <c r="R69" t="s">
        <v>672</v>
      </c>
      <c r="S69">
        <v>153207528</v>
      </c>
      <c r="T69">
        <v>54</v>
      </c>
      <c r="U69" t="s">
        <v>673</v>
      </c>
      <c r="V69" t="s">
        <v>672</v>
      </c>
      <c r="W69" t="s">
        <v>672</v>
      </c>
      <c r="X69" t="s">
        <v>982</v>
      </c>
      <c r="Y69" t="s">
        <v>672</v>
      </c>
      <c r="Z69" s="1">
        <v>44953</v>
      </c>
      <c r="AA69">
        <v>1</v>
      </c>
    </row>
    <row r="70" spans="1:27">
      <c r="A70" t="s">
        <v>538</v>
      </c>
      <c r="B70">
        <v>69</v>
      </c>
      <c r="C70" t="s">
        <v>985</v>
      </c>
      <c r="D70" t="str">
        <f>VLOOKUP('[1]tblclients (1)'!A70,[1]Feuil1!$A$1:$G$203,4,0)</f>
        <v>KOFFI ALBERT</v>
      </c>
      <c r="E70" t="s">
        <v>672</v>
      </c>
      <c r="F70" t="s">
        <v>672</v>
      </c>
      <c r="G70" t="s">
        <v>986</v>
      </c>
      <c r="H70" t="s">
        <v>987</v>
      </c>
      <c r="I70" t="s">
        <v>672</v>
      </c>
      <c r="J70" t="s">
        <v>704</v>
      </c>
      <c r="K70" t="s">
        <v>677</v>
      </c>
      <c r="L70" t="s">
        <v>672</v>
      </c>
      <c r="M70" t="s">
        <v>672</v>
      </c>
      <c r="N70" t="s">
        <v>672</v>
      </c>
      <c r="O70" t="s">
        <v>798</v>
      </c>
      <c r="P70" t="s">
        <v>672</v>
      </c>
      <c r="Q70" t="s">
        <v>672</v>
      </c>
      <c r="R70" t="s">
        <v>672</v>
      </c>
      <c r="S70">
        <v>708757335</v>
      </c>
      <c r="T70">
        <v>54</v>
      </c>
      <c r="U70" t="s">
        <v>673</v>
      </c>
      <c r="V70" t="s">
        <v>672</v>
      </c>
      <c r="W70" t="s">
        <v>672</v>
      </c>
      <c r="X70" t="s">
        <v>872</v>
      </c>
      <c r="Y70" t="s">
        <v>672</v>
      </c>
      <c r="Z70" s="1">
        <v>44953</v>
      </c>
      <c r="AA70">
        <v>1</v>
      </c>
    </row>
    <row r="71" spans="1:27">
      <c r="A71" t="s">
        <v>482</v>
      </c>
      <c r="B71">
        <v>70</v>
      </c>
      <c r="C71" t="s">
        <v>483</v>
      </c>
      <c r="D71" t="str">
        <f>VLOOKUP('[1]tblclients (1)'!A71,[1]Feuil1!$A$1:$G$203,4,0)</f>
        <v>KOFFI ALBERT</v>
      </c>
      <c r="E71" t="s">
        <v>672</v>
      </c>
      <c r="F71" t="s">
        <v>672</v>
      </c>
      <c r="G71" t="s">
        <v>989</v>
      </c>
      <c r="H71" t="s">
        <v>990</v>
      </c>
      <c r="I71" t="s">
        <v>672</v>
      </c>
      <c r="J71" t="s">
        <v>676</v>
      </c>
      <c r="K71" t="s">
        <v>677</v>
      </c>
      <c r="L71" t="s">
        <v>672</v>
      </c>
      <c r="M71" t="s">
        <v>672</v>
      </c>
      <c r="N71" t="s">
        <v>672</v>
      </c>
      <c r="O71" t="s">
        <v>942</v>
      </c>
      <c r="P71" t="s">
        <v>672</v>
      </c>
      <c r="Q71" t="s">
        <v>672</v>
      </c>
      <c r="R71" t="s">
        <v>672</v>
      </c>
      <c r="S71">
        <v>707582582</v>
      </c>
      <c r="T71">
        <v>54</v>
      </c>
      <c r="U71" t="s">
        <v>673</v>
      </c>
      <c r="V71" t="s">
        <v>672</v>
      </c>
      <c r="W71" t="s">
        <v>672</v>
      </c>
      <c r="X71" t="s">
        <v>988</v>
      </c>
      <c r="Y71" t="s">
        <v>672</v>
      </c>
      <c r="Z71" s="1">
        <v>44957</v>
      </c>
      <c r="AA71">
        <v>1</v>
      </c>
    </row>
    <row r="72" spans="1:27">
      <c r="A72" t="s">
        <v>221</v>
      </c>
      <c r="B72">
        <v>71</v>
      </c>
      <c r="C72" t="s">
        <v>222</v>
      </c>
      <c r="D72" t="str">
        <f>VLOOKUP('[1]tblclients (1)'!A72,[1]Feuil1!$A$1:$G$203,4,0)</f>
        <v>KOFFI ALBERT</v>
      </c>
      <c r="E72" t="s">
        <v>672</v>
      </c>
      <c r="F72" t="s">
        <v>672</v>
      </c>
      <c r="G72" t="s">
        <v>992</v>
      </c>
      <c r="H72" t="s">
        <v>993</v>
      </c>
      <c r="I72" t="s">
        <v>672</v>
      </c>
      <c r="J72" t="s">
        <v>704</v>
      </c>
      <c r="K72" t="s">
        <v>677</v>
      </c>
      <c r="L72" t="s">
        <v>672</v>
      </c>
      <c r="M72" t="s">
        <v>672</v>
      </c>
      <c r="N72" t="s">
        <v>672</v>
      </c>
      <c r="O72" t="s">
        <v>798</v>
      </c>
      <c r="P72" t="s">
        <v>672</v>
      </c>
      <c r="Q72" t="s">
        <v>672</v>
      </c>
      <c r="R72" t="s">
        <v>672</v>
      </c>
      <c r="S72">
        <v>757404308</v>
      </c>
      <c r="T72">
        <v>54</v>
      </c>
      <c r="U72" t="s">
        <v>673</v>
      </c>
      <c r="V72" t="s">
        <v>672</v>
      </c>
      <c r="W72" t="s">
        <v>672</v>
      </c>
      <c r="X72" t="s">
        <v>991</v>
      </c>
      <c r="Y72" t="s">
        <v>672</v>
      </c>
      <c r="Z72" s="1">
        <v>44957</v>
      </c>
      <c r="AA72">
        <v>1</v>
      </c>
    </row>
    <row r="73" spans="1:27">
      <c r="A73" t="s">
        <v>466</v>
      </c>
      <c r="B73">
        <v>72</v>
      </c>
      <c r="C73" t="s">
        <v>467</v>
      </c>
      <c r="D73" t="str">
        <f>VLOOKUP('[1]tblclients (1)'!A73,[1]Feuil1!$A$1:$G$203,4,0)</f>
        <v>KOFFI ALBERT</v>
      </c>
      <c r="E73" t="s">
        <v>672</v>
      </c>
      <c r="F73" t="s">
        <v>672</v>
      </c>
      <c r="G73" t="s">
        <v>995</v>
      </c>
      <c r="H73" t="s">
        <v>996</v>
      </c>
      <c r="I73" t="s">
        <v>672</v>
      </c>
      <c r="J73" t="s">
        <v>704</v>
      </c>
      <c r="K73" t="s">
        <v>677</v>
      </c>
      <c r="L73" t="s">
        <v>672</v>
      </c>
      <c r="M73" t="s">
        <v>672</v>
      </c>
      <c r="N73" t="s">
        <v>672</v>
      </c>
      <c r="O73" t="s">
        <v>942</v>
      </c>
      <c r="P73" t="s">
        <v>672</v>
      </c>
      <c r="Q73" t="s">
        <v>672</v>
      </c>
      <c r="R73" t="s">
        <v>672</v>
      </c>
      <c r="S73">
        <v>506497308</v>
      </c>
      <c r="T73">
        <v>54</v>
      </c>
      <c r="U73" t="s">
        <v>673</v>
      </c>
      <c r="V73" t="s">
        <v>672</v>
      </c>
      <c r="W73" t="s">
        <v>672</v>
      </c>
      <c r="X73" t="s">
        <v>994</v>
      </c>
      <c r="Y73" t="s">
        <v>672</v>
      </c>
      <c r="Z73" s="1">
        <v>45099</v>
      </c>
      <c r="AA73">
        <v>1</v>
      </c>
    </row>
    <row r="74" spans="1:27">
      <c r="A74" t="s">
        <v>416</v>
      </c>
      <c r="B74">
        <v>73</v>
      </c>
      <c r="C74" t="s">
        <v>417</v>
      </c>
      <c r="D74" t="str">
        <f>VLOOKUP('[1]tblclients (1)'!A74,[1]Feuil1!$A$1:$G$203,4,0)</f>
        <v>KOFFI ALBERT</v>
      </c>
      <c r="E74" t="s">
        <v>672</v>
      </c>
      <c r="F74" t="s">
        <v>672</v>
      </c>
      <c r="G74" t="s">
        <v>998</v>
      </c>
      <c r="H74" t="s">
        <v>999</v>
      </c>
      <c r="I74" t="s">
        <v>672</v>
      </c>
      <c r="J74" t="s">
        <v>704</v>
      </c>
      <c r="K74" t="s">
        <v>677</v>
      </c>
      <c r="L74" t="s">
        <v>672</v>
      </c>
      <c r="M74" t="s">
        <v>672</v>
      </c>
      <c r="N74" t="s">
        <v>672</v>
      </c>
      <c r="O74" t="s">
        <v>942</v>
      </c>
      <c r="P74" t="s">
        <v>672</v>
      </c>
      <c r="Q74" t="s">
        <v>672</v>
      </c>
      <c r="R74" t="s">
        <v>672</v>
      </c>
      <c r="S74">
        <v>708529890</v>
      </c>
      <c r="T74">
        <v>54</v>
      </c>
      <c r="U74" t="s">
        <v>673</v>
      </c>
      <c r="V74" t="s">
        <v>672</v>
      </c>
      <c r="W74" t="s">
        <v>672</v>
      </c>
      <c r="X74" t="s">
        <v>997</v>
      </c>
      <c r="Y74" t="s">
        <v>672</v>
      </c>
      <c r="Z74" s="1">
        <v>44589</v>
      </c>
      <c r="AA74">
        <v>1</v>
      </c>
    </row>
    <row r="75" spans="1:27">
      <c r="A75" t="s">
        <v>223</v>
      </c>
      <c r="B75">
        <v>74</v>
      </c>
      <c r="C75" t="s">
        <v>224</v>
      </c>
      <c r="D75" t="str">
        <f>VLOOKUP('[1]tblclients (1)'!A75,[1]Feuil1!$A$1:$G$203,4,0)</f>
        <v>KOFFI ALBERT</v>
      </c>
      <c r="E75" t="s">
        <v>672</v>
      </c>
      <c r="F75" t="s">
        <v>672</v>
      </c>
      <c r="G75" t="s">
        <v>1001</v>
      </c>
      <c r="H75" t="s">
        <v>1002</v>
      </c>
      <c r="I75" t="s">
        <v>672</v>
      </c>
      <c r="J75" t="s">
        <v>704</v>
      </c>
      <c r="K75" t="s">
        <v>677</v>
      </c>
      <c r="L75" t="s">
        <v>672</v>
      </c>
      <c r="M75" t="s">
        <v>672</v>
      </c>
      <c r="N75" t="s">
        <v>672</v>
      </c>
      <c r="O75" t="s">
        <v>942</v>
      </c>
      <c r="P75" t="s">
        <v>672</v>
      </c>
      <c r="Q75" t="s">
        <v>672</v>
      </c>
      <c r="R75" t="s">
        <v>672</v>
      </c>
      <c r="S75">
        <v>759484148</v>
      </c>
      <c r="T75">
        <v>54</v>
      </c>
      <c r="U75" t="s">
        <v>673</v>
      </c>
      <c r="V75" t="s">
        <v>672</v>
      </c>
      <c r="W75" t="s">
        <v>672</v>
      </c>
      <c r="X75" t="s">
        <v>1000</v>
      </c>
      <c r="Y75" t="s">
        <v>672</v>
      </c>
      <c r="Z75" s="1">
        <v>44589</v>
      </c>
      <c r="AA75">
        <v>1</v>
      </c>
    </row>
    <row r="76" spans="1:27">
      <c r="A76" t="s">
        <v>414</v>
      </c>
      <c r="B76">
        <v>75</v>
      </c>
      <c r="C76" t="s">
        <v>1003</v>
      </c>
      <c r="D76" t="str">
        <f>VLOOKUP('[1]tblclients (1)'!A76,[1]Feuil1!$A$1:$G$203,4,0)</f>
        <v>KOFFI ALBERT</v>
      </c>
      <c r="E76" t="s">
        <v>672</v>
      </c>
      <c r="F76" t="s">
        <v>672</v>
      </c>
      <c r="G76" t="s">
        <v>1004</v>
      </c>
      <c r="H76" t="s">
        <v>1005</v>
      </c>
      <c r="I76" t="s">
        <v>672</v>
      </c>
      <c r="J76" t="s">
        <v>704</v>
      </c>
      <c r="K76" t="s">
        <v>677</v>
      </c>
      <c r="L76" t="s">
        <v>672</v>
      </c>
      <c r="M76" t="s">
        <v>672</v>
      </c>
      <c r="N76" t="s">
        <v>672</v>
      </c>
      <c r="O76" t="s">
        <v>942</v>
      </c>
      <c r="P76" t="s">
        <v>672</v>
      </c>
      <c r="Q76" t="s">
        <v>672</v>
      </c>
      <c r="R76" t="s">
        <v>672</v>
      </c>
      <c r="S76">
        <v>505488000</v>
      </c>
      <c r="T76">
        <v>54</v>
      </c>
      <c r="U76" t="s">
        <v>673</v>
      </c>
      <c r="V76" t="s">
        <v>672</v>
      </c>
      <c r="W76" t="s">
        <v>672</v>
      </c>
      <c r="X76" t="s">
        <v>939</v>
      </c>
      <c r="Y76" t="s">
        <v>672</v>
      </c>
      <c r="Z76" s="1">
        <v>44589</v>
      </c>
      <c r="AA76">
        <v>1</v>
      </c>
    </row>
    <row r="77" spans="1:27">
      <c r="A77" t="s">
        <v>289</v>
      </c>
      <c r="B77">
        <v>76</v>
      </c>
      <c r="C77" t="s">
        <v>1006</v>
      </c>
      <c r="D77" t="str">
        <f>VLOOKUP('[1]tblclients (1)'!A77,[1]Feuil1!$A$1:$G$203,4,0)</f>
        <v>KOFFI ALBERT</v>
      </c>
      <c r="E77" t="s">
        <v>672</v>
      </c>
      <c r="F77" t="s">
        <v>672</v>
      </c>
      <c r="G77" t="s">
        <v>1008</v>
      </c>
      <c r="H77" t="s">
        <v>1009</v>
      </c>
      <c r="I77" t="s">
        <v>672</v>
      </c>
      <c r="J77" t="s">
        <v>704</v>
      </c>
      <c r="K77" t="s">
        <v>677</v>
      </c>
      <c r="L77" t="s">
        <v>672</v>
      </c>
      <c r="M77" t="s">
        <v>672</v>
      </c>
      <c r="N77" t="s">
        <v>672</v>
      </c>
      <c r="O77" t="s">
        <v>942</v>
      </c>
      <c r="P77" t="s">
        <v>672</v>
      </c>
      <c r="Q77" t="s">
        <v>672</v>
      </c>
      <c r="R77" t="s">
        <v>672</v>
      </c>
      <c r="S77">
        <v>709606012</v>
      </c>
      <c r="T77">
        <v>54</v>
      </c>
      <c r="U77" t="s">
        <v>673</v>
      </c>
      <c r="V77" t="s">
        <v>672</v>
      </c>
      <c r="W77" t="s">
        <v>672</v>
      </c>
      <c r="X77" t="s">
        <v>1007</v>
      </c>
      <c r="Y77" t="s">
        <v>672</v>
      </c>
      <c r="Z77" s="1">
        <v>44589</v>
      </c>
      <c r="AA77">
        <v>1</v>
      </c>
    </row>
    <row r="78" spans="1:27">
      <c r="A78" t="s">
        <v>638</v>
      </c>
      <c r="B78">
        <v>77</v>
      </c>
      <c r="C78" t="s">
        <v>639</v>
      </c>
      <c r="D78" t="str">
        <f>VLOOKUP('[1]tblclients (1)'!A78,[1]Feuil1!$A$1:$G$203,4,0)</f>
        <v>KOFFI ALBERT</v>
      </c>
      <c r="E78" t="s">
        <v>672</v>
      </c>
      <c r="F78" t="s">
        <v>672</v>
      </c>
      <c r="G78" t="s">
        <v>1011</v>
      </c>
      <c r="H78" t="s">
        <v>1012</v>
      </c>
      <c r="I78" t="s">
        <v>672</v>
      </c>
      <c r="J78" t="s">
        <v>704</v>
      </c>
      <c r="K78" t="s">
        <v>677</v>
      </c>
      <c r="L78" t="s">
        <v>672</v>
      </c>
      <c r="M78" t="s">
        <v>672</v>
      </c>
      <c r="N78" t="s">
        <v>672</v>
      </c>
      <c r="O78" t="s">
        <v>942</v>
      </c>
      <c r="P78" t="s">
        <v>672</v>
      </c>
      <c r="Q78" t="s">
        <v>672</v>
      </c>
      <c r="R78" t="s">
        <v>672</v>
      </c>
      <c r="S78">
        <v>504869448</v>
      </c>
      <c r="T78">
        <v>54</v>
      </c>
      <c r="U78" t="s">
        <v>673</v>
      </c>
      <c r="V78" t="s">
        <v>672</v>
      </c>
      <c r="W78" t="s">
        <v>672</v>
      </c>
      <c r="X78" t="s">
        <v>1010</v>
      </c>
      <c r="Y78" t="s">
        <v>672</v>
      </c>
      <c r="Z78" s="1">
        <v>44589</v>
      </c>
      <c r="AA78">
        <v>1</v>
      </c>
    </row>
    <row r="79" spans="1:27">
      <c r="A79" t="s">
        <v>550</v>
      </c>
      <c r="B79">
        <v>78</v>
      </c>
      <c r="C79" t="s">
        <v>551</v>
      </c>
      <c r="D79" t="str">
        <f>VLOOKUP('[1]tblclients (1)'!A79,[1]Feuil1!$A$1:$G$203,4,0)</f>
        <v>KOFFI ALBERT</v>
      </c>
      <c r="E79" t="s">
        <v>672</v>
      </c>
      <c r="F79" t="s">
        <v>672</v>
      </c>
      <c r="G79" t="s">
        <v>1013</v>
      </c>
      <c r="H79" t="s">
        <v>1014</v>
      </c>
      <c r="I79" t="s">
        <v>672</v>
      </c>
      <c r="J79" t="s">
        <v>704</v>
      </c>
      <c r="K79" t="s">
        <v>677</v>
      </c>
      <c r="L79" t="s">
        <v>672</v>
      </c>
      <c r="M79" t="s">
        <v>672</v>
      </c>
      <c r="N79" t="s">
        <v>672</v>
      </c>
      <c r="O79" t="s">
        <v>942</v>
      </c>
      <c r="P79" t="s">
        <v>672</v>
      </c>
      <c r="Q79" t="s">
        <v>672</v>
      </c>
      <c r="R79" t="s">
        <v>672</v>
      </c>
      <c r="S79">
        <v>505893050</v>
      </c>
      <c r="T79">
        <v>54</v>
      </c>
      <c r="U79" t="s">
        <v>673</v>
      </c>
      <c r="V79" t="s">
        <v>672</v>
      </c>
      <c r="W79" t="s">
        <v>672</v>
      </c>
      <c r="X79" t="s">
        <v>959</v>
      </c>
      <c r="Y79" t="s">
        <v>672</v>
      </c>
      <c r="Z79" s="1">
        <v>44592</v>
      </c>
      <c r="AA79">
        <v>1</v>
      </c>
    </row>
    <row r="80" spans="1:27">
      <c r="A80" t="s">
        <v>191</v>
      </c>
      <c r="B80">
        <v>79</v>
      </c>
      <c r="C80" t="s">
        <v>1015</v>
      </c>
      <c r="D80" t="str">
        <f>VLOOKUP('[1]tblclients (1)'!A80,[1]Feuil1!$A$1:$G$203,4,0)</f>
        <v>KOFFI ALBERT</v>
      </c>
      <c r="E80" t="s">
        <v>672</v>
      </c>
      <c r="F80" t="s">
        <v>672</v>
      </c>
      <c r="G80" t="s">
        <v>1017</v>
      </c>
      <c r="H80" t="s">
        <v>1018</v>
      </c>
      <c r="I80" t="s">
        <v>672</v>
      </c>
      <c r="J80" t="s">
        <v>704</v>
      </c>
      <c r="K80" t="s">
        <v>677</v>
      </c>
      <c r="L80" t="s">
        <v>672</v>
      </c>
      <c r="M80" t="s">
        <v>672</v>
      </c>
      <c r="N80" t="s">
        <v>672</v>
      </c>
      <c r="O80" t="s">
        <v>942</v>
      </c>
      <c r="P80" t="s">
        <v>672</v>
      </c>
      <c r="Q80" t="s">
        <v>672</v>
      </c>
      <c r="R80" t="s">
        <v>672</v>
      </c>
      <c r="S80">
        <v>777328417</v>
      </c>
      <c r="T80">
        <v>54</v>
      </c>
      <c r="U80" t="s">
        <v>673</v>
      </c>
      <c r="V80" t="s">
        <v>672</v>
      </c>
      <c r="W80" t="s">
        <v>672</v>
      </c>
      <c r="X80" t="s">
        <v>1016</v>
      </c>
      <c r="Y80" t="s">
        <v>672</v>
      </c>
      <c r="Z80" s="1">
        <v>44760</v>
      </c>
      <c r="AA80">
        <v>1</v>
      </c>
    </row>
    <row r="81" spans="1:27">
      <c r="A81" t="s">
        <v>398</v>
      </c>
      <c r="B81">
        <v>80</v>
      </c>
      <c r="C81" t="s">
        <v>399</v>
      </c>
      <c r="D81" t="str">
        <f>VLOOKUP('[1]tblclients (1)'!A81,[1]Feuil1!$A$1:$G$203,4,0)</f>
        <v>KOFFI ALBERT</v>
      </c>
      <c r="E81" t="s">
        <v>672</v>
      </c>
      <c r="F81" t="s">
        <v>672</v>
      </c>
      <c r="G81" t="s">
        <v>1019</v>
      </c>
      <c r="H81" t="s">
        <v>1020</v>
      </c>
      <c r="I81" t="s">
        <v>672</v>
      </c>
      <c r="J81" t="s">
        <v>704</v>
      </c>
      <c r="K81" t="s">
        <v>677</v>
      </c>
      <c r="L81" t="s">
        <v>672</v>
      </c>
      <c r="M81" t="s">
        <v>672</v>
      </c>
      <c r="N81" t="s">
        <v>672</v>
      </c>
      <c r="O81" t="s">
        <v>942</v>
      </c>
      <c r="P81" t="s">
        <v>672</v>
      </c>
      <c r="Q81" t="s">
        <v>672</v>
      </c>
      <c r="R81" t="s">
        <v>672</v>
      </c>
      <c r="S81">
        <v>505040051</v>
      </c>
      <c r="T81">
        <v>54</v>
      </c>
      <c r="U81" t="s">
        <v>673</v>
      </c>
      <c r="V81" t="s">
        <v>672</v>
      </c>
      <c r="W81" t="s">
        <v>672</v>
      </c>
      <c r="X81" t="s">
        <v>982</v>
      </c>
      <c r="Y81" t="s">
        <v>672</v>
      </c>
      <c r="Z81" s="1">
        <v>44588</v>
      </c>
      <c r="AA81">
        <v>1</v>
      </c>
    </row>
    <row r="82" spans="1:27">
      <c r="A82" t="s">
        <v>528</v>
      </c>
      <c r="B82">
        <v>81</v>
      </c>
      <c r="C82" t="s">
        <v>529</v>
      </c>
      <c r="D82" t="str">
        <f>VLOOKUP('[1]tblclients (1)'!A82,[1]Feuil1!$A$1:$G$203,4,0)</f>
        <v>KOFFI ALBERT</v>
      </c>
      <c r="G82" t="s">
        <v>1021</v>
      </c>
      <c r="H82" t="s">
        <v>1022</v>
      </c>
      <c r="J82" t="s">
        <v>704</v>
      </c>
      <c r="K82" t="s">
        <v>677</v>
      </c>
      <c r="O82" t="s">
        <v>742</v>
      </c>
      <c r="S82">
        <v>768713339</v>
      </c>
      <c r="T82">
        <v>54</v>
      </c>
      <c r="U82" t="s">
        <v>673</v>
      </c>
      <c r="X82" t="s">
        <v>788</v>
      </c>
      <c r="Z82" s="1">
        <v>44588</v>
      </c>
      <c r="AA82">
        <v>1</v>
      </c>
    </row>
    <row r="83" spans="1:27">
      <c r="A83" t="s">
        <v>556</v>
      </c>
      <c r="B83">
        <v>82</v>
      </c>
      <c r="C83" t="s">
        <v>1023</v>
      </c>
      <c r="D83" t="str">
        <f>VLOOKUP('[1]tblclients (1)'!A83,[1]Feuil1!$A$1:$G$203,4,0)</f>
        <v>KOFFI ALBERT</v>
      </c>
      <c r="E83" t="s">
        <v>672</v>
      </c>
      <c r="F83" t="s">
        <v>672</v>
      </c>
      <c r="G83" t="s">
        <v>1025</v>
      </c>
      <c r="H83" t="s">
        <v>1026</v>
      </c>
      <c r="I83" t="s">
        <v>672</v>
      </c>
      <c r="J83" t="s">
        <v>704</v>
      </c>
      <c r="K83" t="s">
        <v>677</v>
      </c>
      <c r="L83" t="s">
        <v>672</v>
      </c>
      <c r="M83" t="s">
        <v>672</v>
      </c>
      <c r="N83" t="s">
        <v>672</v>
      </c>
      <c r="O83" t="s">
        <v>942</v>
      </c>
      <c r="P83" t="s">
        <v>672</v>
      </c>
      <c r="Q83" t="s">
        <v>672</v>
      </c>
      <c r="R83" t="s">
        <v>672</v>
      </c>
      <c r="S83">
        <v>777237255</v>
      </c>
      <c r="T83">
        <v>54</v>
      </c>
      <c r="U83" t="s">
        <v>673</v>
      </c>
      <c r="V83" t="s">
        <v>672</v>
      </c>
      <c r="W83" t="s">
        <v>672</v>
      </c>
      <c r="X83" t="s">
        <v>1024</v>
      </c>
      <c r="Y83" t="s">
        <v>672</v>
      </c>
      <c r="Z83" s="1">
        <v>44589</v>
      </c>
      <c r="AA83">
        <v>1</v>
      </c>
    </row>
    <row r="84" spans="1:27">
      <c r="A84" t="s">
        <v>271</v>
      </c>
      <c r="B84">
        <v>83</v>
      </c>
      <c r="C84" t="s">
        <v>272</v>
      </c>
      <c r="D84" t="str">
        <f>VLOOKUP('[1]tblclients (1)'!A84,[1]Feuil1!$A$1:$G$203,4,0)</f>
        <v>KOFFI ALBERT</v>
      </c>
      <c r="E84" t="s">
        <v>672</v>
      </c>
      <c r="F84" t="s">
        <v>672</v>
      </c>
      <c r="G84" t="s">
        <v>1027</v>
      </c>
      <c r="H84" t="s">
        <v>1028</v>
      </c>
      <c r="I84" t="s">
        <v>672</v>
      </c>
      <c r="J84" t="s">
        <v>676</v>
      </c>
      <c r="K84" t="s">
        <v>677</v>
      </c>
      <c r="L84" t="s">
        <v>672</v>
      </c>
      <c r="M84" t="s">
        <v>672</v>
      </c>
      <c r="N84" t="s">
        <v>672</v>
      </c>
      <c r="O84" t="s">
        <v>942</v>
      </c>
      <c r="P84" t="s">
        <v>672</v>
      </c>
      <c r="Q84" t="s">
        <v>672</v>
      </c>
      <c r="R84" t="s">
        <v>672</v>
      </c>
      <c r="S84">
        <v>708247146</v>
      </c>
      <c r="T84">
        <v>54</v>
      </c>
      <c r="U84" t="s">
        <v>673</v>
      </c>
      <c r="V84" t="s">
        <v>672</v>
      </c>
      <c r="W84" t="s">
        <v>672</v>
      </c>
      <c r="X84" t="s">
        <v>959</v>
      </c>
      <c r="Y84" t="s">
        <v>672</v>
      </c>
      <c r="Z84" s="1">
        <v>44589</v>
      </c>
      <c r="AA84">
        <v>1</v>
      </c>
    </row>
    <row r="85" spans="1:27">
      <c r="A85" t="s">
        <v>348</v>
      </c>
      <c r="B85">
        <v>84</v>
      </c>
      <c r="C85" t="s">
        <v>1029</v>
      </c>
      <c r="D85" t="str">
        <f>VLOOKUP('[1]tblclients (1)'!A85,[1]Feuil1!$A$1:$G$203,4,0)</f>
        <v>KOFFI ALBERT</v>
      </c>
      <c r="G85" t="s">
        <v>1030</v>
      </c>
      <c r="H85" t="s">
        <v>1031</v>
      </c>
      <c r="J85" t="s">
        <v>704</v>
      </c>
      <c r="K85" t="s">
        <v>677</v>
      </c>
      <c r="O85" t="s">
        <v>942</v>
      </c>
      <c r="S85">
        <v>789549220</v>
      </c>
      <c r="T85">
        <v>54</v>
      </c>
      <c r="U85" t="s">
        <v>673</v>
      </c>
      <c r="X85" t="s">
        <v>872</v>
      </c>
      <c r="Z85" s="1">
        <v>44589</v>
      </c>
      <c r="AA85">
        <v>1</v>
      </c>
    </row>
    <row r="86" spans="1:27">
      <c r="A86" t="s">
        <v>418</v>
      </c>
      <c r="B86">
        <v>85</v>
      </c>
      <c r="C86" t="s">
        <v>419</v>
      </c>
      <c r="D86" t="str">
        <f>VLOOKUP('[1]tblclients (1)'!A86,[1]Feuil1!$A$1:$G$203,4,0)</f>
        <v>KOFFI ALBERT</v>
      </c>
      <c r="E86" t="s">
        <v>672</v>
      </c>
      <c r="F86" t="s">
        <v>672</v>
      </c>
      <c r="G86" t="s">
        <v>1032</v>
      </c>
      <c r="H86" t="s">
        <v>1033</v>
      </c>
      <c r="I86" t="s">
        <v>672</v>
      </c>
      <c r="J86" t="s">
        <v>704</v>
      </c>
      <c r="K86" t="s">
        <v>677</v>
      </c>
      <c r="L86" t="s">
        <v>672</v>
      </c>
      <c r="M86" t="s">
        <v>672</v>
      </c>
      <c r="N86" t="s">
        <v>672</v>
      </c>
      <c r="O86" t="s">
        <v>942</v>
      </c>
      <c r="P86" t="s">
        <v>672</v>
      </c>
      <c r="Q86" t="s">
        <v>672</v>
      </c>
      <c r="R86" t="s">
        <v>672</v>
      </c>
      <c r="S86">
        <v>777328417</v>
      </c>
      <c r="T86">
        <v>54</v>
      </c>
      <c r="U86" t="s">
        <v>673</v>
      </c>
      <c r="V86" t="s">
        <v>672</v>
      </c>
      <c r="W86" t="s">
        <v>672</v>
      </c>
      <c r="X86" t="s">
        <v>939</v>
      </c>
      <c r="Y86" t="s">
        <v>672</v>
      </c>
      <c r="Z86" s="1">
        <v>44589</v>
      </c>
      <c r="AA86">
        <v>1</v>
      </c>
    </row>
    <row r="87" spans="1:27">
      <c r="A87" t="s">
        <v>546</v>
      </c>
      <c r="B87">
        <v>86</v>
      </c>
      <c r="C87" t="s">
        <v>547</v>
      </c>
      <c r="D87" t="str">
        <f>VLOOKUP('[1]tblclients (1)'!A87,[1]Feuil1!$A$1:$G$203,4,0)</f>
        <v>KOFFI ALBERT</v>
      </c>
      <c r="E87" t="s">
        <v>672</v>
      </c>
      <c r="F87" t="s">
        <v>672</v>
      </c>
      <c r="G87" t="s">
        <v>1035</v>
      </c>
      <c r="H87" t="s">
        <v>1036</v>
      </c>
      <c r="I87" t="s">
        <v>672</v>
      </c>
      <c r="J87" t="s">
        <v>704</v>
      </c>
      <c r="K87" t="s">
        <v>677</v>
      </c>
      <c r="L87" t="s">
        <v>672</v>
      </c>
      <c r="M87" t="s">
        <v>672</v>
      </c>
      <c r="N87" t="s">
        <v>672</v>
      </c>
      <c r="O87" t="s">
        <v>942</v>
      </c>
      <c r="P87" t="s">
        <v>672</v>
      </c>
      <c r="Q87" t="s">
        <v>672</v>
      </c>
      <c r="R87" t="s">
        <v>672</v>
      </c>
      <c r="S87">
        <v>777973637</v>
      </c>
      <c r="T87">
        <v>54</v>
      </c>
      <c r="U87" t="s">
        <v>673</v>
      </c>
      <c r="V87" t="s">
        <v>672</v>
      </c>
      <c r="W87" t="s">
        <v>672</v>
      </c>
      <c r="X87" t="s">
        <v>1034</v>
      </c>
      <c r="Y87" t="s">
        <v>672</v>
      </c>
      <c r="Z87" s="1">
        <v>44589</v>
      </c>
      <c r="AA87">
        <v>1</v>
      </c>
    </row>
    <row r="88" spans="1:27">
      <c r="A88" t="s">
        <v>164</v>
      </c>
      <c r="B88">
        <v>87</v>
      </c>
      <c r="C88" t="s">
        <v>1037</v>
      </c>
      <c r="D88" t="str">
        <f>VLOOKUP('[1]tblclients (1)'!A88,[1]Feuil1!$A$1:$G$203,4,0)</f>
        <v>KOFFI ALBERT</v>
      </c>
      <c r="E88" t="s">
        <v>672</v>
      </c>
      <c r="F88" t="s">
        <v>672</v>
      </c>
      <c r="G88" t="s">
        <v>1038</v>
      </c>
      <c r="H88" t="s">
        <v>1039</v>
      </c>
      <c r="I88" t="s">
        <v>672</v>
      </c>
      <c r="J88" t="s">
        <v>704</v>
      </c>
      <c r="K88" t="s">
        <v>677</v>
      </c>
      <c r="L88" t="s">
        <v>672</v>
      </c>
      <c r="M88" t="s">
        <v>672</v>
      </c>
      <c r="N88" t="s">
        <v>672</v>
      </c>
      <c r="O88" t="s">
        <v>942</v>
      </c>
      <c r="P88" t="s">
        <v>672</v>
      </c>
      <c r="Q88" t="s">
        <v>672</v>
      </c>
      <c r="R88" t="s">
        <v>672</v>
      </c>
      <c r="S88">
        <v>505199503</v>
      </c>
      <c r="T88">
        <v>54</v>
      </c>
      <c r="U88" t="s">
        <v>673</v>
      </c>
      <c r="V88" t="s">
        <v>672</v>
      </c>
      <c r="W88" t="s">
        <v>672</v>
      </c>
      <c r="X88" t="s">
        <v>988</v>
      </c>
      <c r="Y88" t="s">
        <v>672</v>
      </c>
      <c r="Z88" s="1">
        <v>44589</v>
      </c>
      <c r="AA88">
        <v>1</v>
      </c>
    </row>
    <row r="89" spans="1:27">
      <c r="A89" t="s">
        <v>402</v>
      </c>
      <c r="B89">
        <v>89</v>
      </c>
      <c r="C89" t="s">
        <v>1040</v>
      </c>
      <c r="D89" t="str">
        <f>VLOOKUP('[1]tblclients (1)'!A89,[1]Feuil1!$A$1:$G$203,4,0)</f>
        <v>KOFFI ALBERT</v>
      </c>
      <c r="G89" t="s">
        <v>1041</v>
      </c>
      <c r="H89" t="s">
        <v>1042</v>
      </c>
      <c r="J89" t="s">
        <v>704</v>
      </c>
      <c r="K89" t="s">
        <v>677</v>
      </c>
      <c r="O89" t="s">
        <v>942</v>
      </c>
      <c r="S89">
        <v>707243416</v>
      </c>
      <c r="T89">
        <v>54</v>
      </c>
      <c r="U89" t="s">
        <v>673</v>
      </c>
      <c r="X89" t="s">
        <v>959</v>
      </c>
      <c r="Z89" s="1">
        <v>44589</v>
      </c>
      <c r="AA89">
        <v>1</v>
      </c>
    </row>
    <row r="90" spans="1:27">
      <c r="A90" t="s">
        <v>70</v>
      </c>
      <c r="B90">
        <v>90</v>
      </c>
      <c r="C90" t="s">
        <v>71</v>
      </c>
      <c r="D90" t="str">
        <f>VLOOKUP('[1]tblclients (1)'!A90,[1]Feuil1!$A$1:$G$203,4,0)</f>
        <v>KOFFI ALBERT</v>
      </c>
      <c r="E90" t="s">
        <v>672</v>
      </c>
      <c r="F90" t="s">
        <v>672</v>
      </c>
      <c r="G90" t="s">
        <v>1044</v>
      </c>
      <c r="H90" t="s">
        <v>1045</v>
      </c>
      <c r="I90" t="s">
        <v>672</v>
      </c>
      <c r="J90" t="s">
        <v>704</v>
      </c>
      <c r="K90" t="s">
        <v>677</v>
      </c>
      <c r="L90" t="s">
        <v>672</v>
      </c>
      <c r="M90" t="s">
        <v>672</v>
      </c>
      <c r="N90" t="s">
        <v>672</v>
      </c>
      <c r="O90" t="s">
        <v>942</v>
      </c>
      <c r="P90" t="s">
        <v>672</v>
      </c>
      <c r="Q90" t="s">
        <v>672</v>
      </c>
      <c r="R90" t="s">
        <v>672</v>
      </c>
      <c r="T90">
        <v>54</v>
      </c>
      <c r="U90" t="s">
        <v>673</v>
      </c>
      <c r="V90" t="s">
        <v>672</v>
      </c>
      <c r="W90" t="s">
        <v>672</v>
      </c>
      <c r="X90" t="s">
        <v>1043</v>
      </c>
      <c r="Y90" t="s">
        <v>672</v>
      </c>
      <c r="Z90" s="1">
        <v>44589</v>
      </c>
      <c r="AA90">
        <v>1</v>
      </c>
    </row>
    <row r="91" spans="1:27">
      <c r="A91" t="s">
        <v>382</v>
      </c>
      <c r="B91">
        <v>91</v>
      </c>
      <c r="C91" t="s">
        <v>1046</v>
      </c>
      <c r="D91" t="str">
        <f>VLOOKUP('[1]tblclients (1)'!A91,[1]Feuil1!$A$1:$G$203,4,0)</f>
        <v>KOFFI ALBERT</v>
      </c>
      <c r="E91" t="s">
        <v>672</v>
      </c>
      <c r="F91" t="s">
        <v>672</v>
      </c>
      <c r="G91" t="s">
        <v>1047</v>
      </c>
      <c r="H91" t="s">
        <v>1048</v>
      </c>
      <c r="I91" t="s">
        <v>672</v>
      </c>
      <c r="J91" t="s">
        <v>704</v>
      </c>
      <c r="K91" t="s">
        <v>677</v>
      </c>
      <c r="L91" t="s">
        <v>672</v>
      </c>
      <c r="M91" t="s">
        <v>672</v>
      </c>
      <c r="N91" t="s">
        <v>672</v>
      </c>
      <c r="O91" t="s">
        <v>942</v>
      </c>
      <c r="P91" t="s">
        <v>672</v>
      </c>
      <c r="Q91" t="s">
        <v>672</v>
      </c>
      <c r="R91" t="s">
        <v>672</v>
      </c>
      <c r="S91">
        <v>777328417</v>
      </c>
      <c r="T91">
        <v>54</v>
      </c>
      <c r="U91" t="s">
        <v>673</v>
      </c>
      <c r="V91" t="s">
        <v>672</v>
      </c>
      <c r="W91" t="s">
        <v>672</v>
      </c>
      <c r="Y91" t="s">
        <v>672</v>
      </c>
      <c r="Z91" s="1">
        <v>44760</v>
      </c>
      <c r="AA91">
        <v>1</v>
      </c>
    </row>
    <row r="92" spans="1:27">
      <c r="A92" t="s">
        <v>378</v>
      </c>
      <c r="B92">
        <v>92</v>
      </c>
      <c r="C92" t="s">
        <v>1049</v>
      </c>
      <c r="D92" t="str">
        <f>VLOOKUP('[1]tblclients (1)'!A92,[1]Feuil1!$A$1:$G$203,4,0)</f>
        <v>KONGOZA HARMEL</v>
      </c>
      <c r="E92" t="s">
        <v>672</v>
      </c>
      <c r="F92" t="s">
        <v>672</v>
      </c>
      <c r="G92" t="s">
        <v>1050</v>
      </c>
      <c r="H92" t="s">
        <v>1051</v>
      </c>
      <c r="I92" t="s">
        <v>672</v>
      </c>
      <c r="J92" t="s">
        <v>676</v>
      </c>
      <c r="K92" t="s">
        <v>677</v>
      </c>
      <c r="L92" t="s">
        <v>672</v>
      </c>
      <c r="M92" t="s">
        <v>672</v>
      </c>
      <c r="N92" t="s">
        <v>672</v>
      </c>
      <c r="O92" t="s">
        <v>678</v>
      </c>
      <c r="P92" t="s">
        <v>672</v>
      </c>
      <c r="Q92" t="s">
        <v>672</v>
      </c>
      <c r="R92" t="s">
        <v>672</v>
      </c>
      <c r="T92">
        <v>54</v>
      </c>
      <c r="U92" t="s">
        <v>673</v>
      </c>
      <c r="V92" t="s">
        <v>672</v>
      </c>
      <c r="W92" t="s">
        <v>672</v>
      </c>
      <c r="Y92" t="s">
        <v>672</v>
      </c>
      <c r="Z92" s="1">
        <v>44951</v>
      </c>
      <c r="AA92">
        <v>1</v>
      </c>
    </row>
    <row r="93" spans="1:27">
      <c r="A93" t="s">
        <v>28</v>
      </c>
      <c r="B93">
        <v>93</v>
      </c>
      <c r="C93" t="s">
        <v>1052</v>
      </c>
      <c r="D93" t="str">
        <f>VLOOKUP('[1]tblclients (1)'!A93,[1]Feuil1!$A$1:$G$203,4,0)</f>
        <v>GOHI</v>
      </c>
      <c r="E93" t="s">
        <v>672</v>
      </c>
      <c r="F93" t="s">
        <v>672</v>
      </c>
      <c r="G93" t="s">
        <v>1054</v>
      </c>
      <c r="H93" t="s">
        <v>1055</v>
      </c>
      <c r="I93" t="s">
        <v>672</v>
      </c>
      <c r="J93" t="s">
        <v>704</v>
      </c>
      <c r="K93" t="s">
        <v>677</v>
      </c>
      <c r="L93" t="s">
        <v>672</v>
      </c>
      <c r="M93" t="s">
        <v>672</v>
      </c>
      <c r="N93" t="s">
        <v>672</v>
      </c>
      <c r="O93" t="s">
        <v>705</v>
      </c>
      <c r="P93" t="s">
        <v>672</v>
      </c>
      <c r="Q93" t="s">
        <v>672</v>
      </c>
      <c r="R93" t="s">
        <v>672</v>
      </c>
      <c r="S93">
        <v>757118226</v>
      </c>
      <c r="T93">
        <v>54</v>
      </c>
      <c r="U93" t="s">
        <v>673</v>
      </c>
      <c r="V93" t="s">
        <v>672</v>
      </c>
      <c r="W93" t="s">
        <v>672</v>
      </c>
      <c r="X93" t="s">
        <v>1053</v>
      </c>
      <c r="Y93" t="s">
        <v>672</v>
      </c>
      <c r="Z93" s="1">
        <v>44951</v>
      </c>
      <c r="AA93">
        <v>1</v>
      </c>
    </row>
    <row r="94" spans="1:27">
      <c r="A94" t="s">
        <v>1057</v>
      </c>
      <c r="B94">
        <v>94</v>
      </c>
      <c r="C94" t="s">
        <v>1056</v>
      </c>
      <c r="D94" t="str">
        <f>VLOOKUP('[1]tblclients (1)'!A94,[1]Feuil1!$A$1:$G$203,4,0)</f>
        <v>KONGOZA HARMEL</v>
      </c>
      <c r="E94" t="s">
        <v>672</v>
      </c>
      <c r="F94" t="s">
        <v>672</v>
      </c>
      <c r="G94" t="s">
        <v>1058</v>
      </c>
      <c r="H94" t="s">
        <v>914</v>
      </c>
      <c r="I94" t="s">
        <v>672</v>
      </c>
      <c r="J94" t="s">
        <v>676</v>
      </c>
      <c r="K94" t="s">
        <v>677</v>
      </c>
      <c r="L94" t="s">
        <v>672</v>
      </c>
      <c r="M94" t="s">
        <v>672</v>
      </c>
      <c r="N94" t="s">
        <v>672</v>
      </c>
      <c r="O94" t="s">
        <v>705</v>
      </c>
      <c r="P94" t="s">
        <v>672</v>
      </c>
      <c r="Q94" t="s">
        <v>672</v>
      </c>
      <c r="R94" t="s">
        <v>672</v>
      </c>
      <c r="T94">
        <v>54</v>
      </c>
      <c r="U94" t="s">
        <v>673</v>
      </c>
      <c r="V94" t="s">
        <v>672</v>
      </c>
      <c r="W94" t="s">
        <v>672</v>
      </c>
      <c r="Y94" t="s">
        <v>672</v>
      </c>
      <c r="Z94" s="1">
        <v>44956</v>
      </c>
      <c r="AA94">
        <v>1</v>
      </c>
    </row>
    <row r="95" spans="1:27">
      <c r="A95" t="s">
        <v>102</v>
      </c>
      <c r="B95">
        <v>95</v>
      </c>
      <c r="C95" t="s">
        <v>1059</v>
      </c>
      <c r="D95" t="str">
        <f>VLOOKUP('[1]tblclients (1)'!A95,[1]Feuil1!$A$1:$G$203,4,0)</f>
        <v>GOHI</v>
      </c>
      <c r="E95" t="s">
        <v>672</v>
      </c>
      <c r="F95" t="s">
        <v>672</v>
      </c>
      <c r="G95" t="s">
        <v>1060</v>
      </c>
      <c r="H95" t="s">
        <v>1061</v>
      </c>
      <c r="I95" t="s">
        <v>672</v>
      </c>
      <c r="J95" t="s">
        <v>704</v>
      </c>
      <c r="K95" t="s">
        <v>677</v>
      </c>
      <c r="L95" t="s">
        <v>672</v>
      </c>
      <c r="M95" t="s">
        <v>672</v>
      </c>
      <c r="N95" t="s">
        <v>672</v>
      </c>
      <c r="O95" t="s">
        <v>750</v>
      </c>
      <c r="P95" t="s">
        <v>672</v>
      </c>
      <c r="Q95" t="s">
        <v>672</v>
      </c>
      <c r="R95" t="s">
        <v>672</v>
      </c>
      <c r="S95">
        <v>708824664</v>
      </c>
      <c r="T95">
        <v>54</v>
      </c>
      <c r="U95" t="s">
        <v>673</v>
      </c>
      <c r="V95" t="s">
        <v>672</v>
      </c>
      <c r="W95" t="s">
        <v>672</v>
      </c>
      <c r="X95" t="s">
        <v>706</v>
      </c>
      <c r="Y95" t="s">
        <v>672</v>
      </c>
      <c r="Z95" s="1">
        <v>44956</v>
      </c>
      <c r="AA95">
        <v>1</v>
      </c>
    </row>
    <row r="96" spans="1:27">
      <c r="A96" t="s">
        <v>378</v>
      </c>
      <c r="B96">
        <v>96</v>
      </c>
      <c r="C96" t="s">
        <v>379</v>
      </c>
      <c r="D96" t="str">
        <f>VLOOKUP('[1]tblclients (1)'!A96,[1]Feuil1!$A$1:$G$203,4,0)</f>
        <v>GOHI</v>
      </c>
      <c r="E96" t="s">
        <v>672</v>
      </c>
      <c r="F96" t="s">
        <v>672</v>
      </c>
      <c r="G96" t="s">
        <v>1062</v>
      </c>
      <c r="H96" t="s">
        <v>1063</v>
      </c>
      <c r="I96" t="s">
        <v>672</v>
      </c>
      <c r="J96" t="s">
        <v>704</v>
      </c>
      <c r="K96" t="s">
        <v>677</v>
      </c>
      <c r="L96" t="s">
        <v>672</v>
      </c>
      <c r="M96" t="s">
        <v>672</v>
      </c>
      <c r="N96" t="s">
        <v>672</v>
      </c>
      <c r="O96" t="s">
        <v>705</v>
      </c>
      <c r="P96" t="s">
        <v>672</v>
      </c>
      <c r="Q96" t="s">
        <v>672</v>
      </c>
      <c r="R96" t="s">
        <v>672</v>
      </c>
      <c r="S96">
        <v>709767690</v>
      </c>
      <c r="T96">
        <v>54</v>
      </c>
      <c r="U96" t="s">
        <v>673</v>
      </c>
      <c r="V96" t="s">
        <v>672</v>
      </c>
      <c r="W96" t="s">
        <v>672</v>
      </c>
      <c r="X96" t="s">
        <v>701</v>
      </c>
      <c r="Y96" t="s">
        <v>672</v>
      </c>
      <c r="Z96" s="1">
        <v>44589</v>
      </c>
      <c r="AA96">
        <v>1</v>
      </c>
    </row>
    <row r="97" spans="1:27">
      <c r="A97" t="s">
        <v>588</v>
      </c>
      <c r="B97">
        <v>97</v>
      </c>
      <c r="C97" t="s">
        <v>1064</v>
      </c>
      <c r="D97" t="str">
        <f>VLOOKUP('[1]tblclients (1)'!A97,[1]Feuil1!$A$1:$G$203,4,0)</f>
        <v>GOHI</v>
      </c>
      <c r="E97" t="s">
        <v>672</v>
      </c>
      <c r="F97" t="s">
        <v>672</v>
      </c>
      <c r="G97" t="s">
        <v>1065</v>
      </c>
      <c r="H97" t="s">
        <v>1066</v>
      </c>
      <c r="I97" t="s">
        <v>672</v>
      </c>
      <c r="J97" t="s">
        <v>704</v>
      </c>
      <c r="K97" t="s">
        <v>677</v>
      </c>
      <c r="L97" t="s">
        <v>672</v>
      </c>
      <c r="M97" t="s">
        <v>672</v>
      </c>
      <c r="N97" t="s">
        <v>672</v>
      </c>
      <c r="O97" t="s">
        <v>705</v>
      </c>
      <c r="P97" t="s">
        <v>672</v>
      </c>
      <c r="Q97" t="s">
        <v>672</v>
      </c>
      <c r="R97" t="s">
        <v>672</v>
      </c>
      <c r="S97">
        <v>709767690</v>
      </c>
      <c r="T97">
        <v>54</v>
      </c>
      <c r="U97" t="s">
        <v>673</v>
      </c>
      <c r="V97" t="s">
        <v>672</v>
      </c>
      <c r="W97" t="s">
        <v>672</v>
      </c>
      <c r="X97" t="s">
        <v>701</v>
      </c>
      <c r="Y97" t="s">
        <v>672</v>
      </c>
      <c r="Z97" s="1">
        <v>44589</v>
      </c>
      <c r="AA97">
        <v>1</v>
      </c>
    </row>
    <row r="98" spans="1:27">
      <c r="A98" t="s">
        <v>362</v>
      </c>
      <c r="B98">
        <v>98</v>
      </c>
      <c r="C98" t="s">
        <v>1067</v>
      </c>
      <c r="D98" t="str">
        <f>VLOOKUP('[1]tblclients (1)'!A98,[1]Feuil1!$A$1:$G$203,4,0)</f>
        <v>GOHI</v>
      </c>
      <c r="E98" t="s">
        <v>672</v>
      </c>
      <c r="F98" t="s">
        <v>672</v>
      </c>
      <c r="G98" t="s">
        <v>1069</v>
      </c>
      <c r="H98" t="s">
        <v>1070</v>
      </c>
      <c r="I98" t="s">
        <v>672</v>
      </c>
      <c r="J98" t="s">
        <v>704</v>
      </c>
      <c r="K98" t="s">
        <v>677</v>
      </c>
      <c r="L98" t="s">
        <v>672</v>
      </c>
      <c r="M98" t="s">
        <v>672</v>
      </c>
      <c r="N98" t="s">
        <v>672</v>
      </c>
      <c r="O98" t="s">
        <v>798</v>
      </c>
      <c r="P98" t="s">
        <v>672</v>
      </c>
      <c r="Q98" t="s">
        <v>672</v>
      </c>
      <c r="R98" t="s">
        <v>672</v>
      </c>
      <c r="S98">
        <v>707278352</v>
      </c>
      <c r="T98">
        <v>54</v>
      </c>
      <c r="U98" t="s">
        <v>673</v>
      </c>
      <c r="V98" t="s">
        <v>672</v>
      </c>
      <c r="W98" t="s">
        <v>672</v>
      </c>
      <c r="X98" t="s">
        <v>1068</v>
      </c>
      <c r="Y98" t="s">
        <v>672</v>
      </c>
      <c r="Z98" s="1">
        <v>44589</v>
      </c>
      <c r="AA98">
        <v>1</v>
      </c>
    </row>
    <row r="99" spans="1:27">
      <c r="A99" t="s">
        <v>426</v>
      </c>
      <c r="B99">
        <v>99</v>
      </c>
      <c r="C99" t="s">
        <v>1071</v>
      </c>
      <c r="D99" t="str">
        <f>VLOOKUP('[1]tblclients (1)'!A99,[1]Feuil1!$A$1:$G$203,4,0)</f>
        <v xml:space="preserve">GOHI </v>
      </c>
      <c r="G99" t="s">
        <v>1072</v>
      </c>
      <c r="H99" t="s">
        <v>1073</v>
      </c>
      <c r="J99" t="s">
        <v>704</v>
      </c>
      <c r="K99" t="s">
        <v>677</v>
      </c>
      <c r="O99" t="s">
        <v>834</v>
      </c>
      <c r="S99">
        <v>505596296</v>
      </c>
      <c r="T99">
        <v>54</v>
      </c>
      <c r="U99" t="s">
        <v>673</v>
      </c>
      <c r="X99" t="s">
        <v>788</v>
      </c>
      <c r="Z99" s="1">
        <v>44490</v>
      </c>
      <c r="AA99">
        <v>1</v>
      </c>
    </row>
    <row r="100" spans="1:27">
      <c r="A100" t="s">
        <v>158</v>
      </c>
      <c r="B100">
        <v>100</v>
      </c>
      <c r="C100" t="s">
        <v>1074</v>
      </c>
      <c r="D100" t="str">
        <f>VLOOKUP('[1]tblclients (1)'!A100,[1]Feuil1!$A$1:$G$203,4,0)</f>
        <v xml:space="preserve">GOHI </v>
      </c>
      <c r="E100" t="s">
        <v>672</v>
      </c>
      <c r="F100" t="s">
        <v>672</v>
      </c>
      <c r="G100" t="s">
        <v>1076</v>
      </c>
      <c r="H100" t="s">
        <v>1077</v>
      </c>
      <c r="I100" t="s">
        <v>672</v>
      </c>
      <c r="J100" t="s">
        <v>1078</v>
      </c>
      <c r="K100" t="s">
        <v>677</v>
      </c>
      <c r="L100" t="s">
        <v>672</v>
      </c>
      <c r="M100" t="s">
        <v>672</v>
      </c>
      <c r="N100" t="s">
        <v>672</v>
      </c>
      <c r="O100" t="s">
        <v>692</v>
      </c>
      <c r="P100" t="s">
        <v>672</v>
      </c>
      <c r="Q100" t="s">
        <v>672</v>
      </c>
      <c r="R100" t="s">
        <v>672</v>
      </c>
      <c r="T100">
        <v>54</v>
      </c>
      <c r="U100" t="s">
        <v>673</v>
      </c>
      <c r="V100" t="s">
        <v>672</v>
      </c>
      <c r="W100" t="s">
        <v>672</v>
      </c>
      <c r="X100" t="s">
        <v>1075</v>
      </c>
      <c r="Y100" t="s">
        <v>672</v>
      </c>
      <c r="Z100" s="1">
        <v>44592</v>
      </c>
      <c r="AA100">
        <v>1</v>
      </c>
    </row>
    <row r="101" spans="1:27">
      <c r="A101" t="s">
        <v>432</v>
      </c>
      <c r="B101">
        <v>101</v>
      </c>
      <c r="C101" t="s">
        <v>433</v>
      </c>
      <c r="D101" t="str">
        <f>VLOOKUP('[1]tblclients (1)'!A101,[1]Feuil1!$A$1:$G$203,4,0)</f>
        <v xml:space="preserve">GOHI </v>
      </c>
      <c r="E101" t="s">
        <v>672</v>
      </c>
      <c r="F101" t="s">
        <v>672</v>
      </c>
      <c r="G101" t="s">
        <v>1080</v>
      </c>
      <c r="H101" t="s">
        <v>1081</v>
      </c>
      <c r="I101" t="s">
        <v>672</v>
      </c>
      <c r="J101" t="s">
        <v>704</v>
      </c>
      <c r="K101" t="s">
        <v>677</v>
      </c>
      <c r="L101" t="s">
        <v>672</v>
      </c>
      <c r="M101" t="s">
        <v>672</v>
      </c>
      <c r="N101" t="s">
        <v>672</v>
      </c>
      <c r="O101" t="s">
        <v>705</v>
      </c>
      <c r="P101" t="s">
        <v>672</v>
      </c>
      <c r="Q101" t="s">
        <v>672</v>
      </c>
      <c r="R101" t="s">
        <v>672</v>
      </c>
      <c r="S101">
        <v>708247146</v>
      </c>
      <c r="T101">
        <v>54</v>
      </c>
      <c r="U101" t="s">
        <v>673</v>
      </c>
      <c r="V101" t="s">
        <v>672</v>
      </c>
      <c r="W101" t="s">
        <v>672</v>
      </c>
      <c r="X101" t="s">
        <v>1079</v>
      </c>
      <c r="Y101" t="s">
        <v>672</v>
      </c>
      <c r="Z101" s="1">
        <v>44589</v>
      </c>
      <c r="AA101">
        <v>1</v>
      </c>
    </row>
    <row r="102" spans="1:27">
      <c r="A102" t="s">
        <v>512</v>
      </c>
      <c r="B102">
        <v>102</v>
      </c>
      <c r="C102" t="s">
        <v>513</v>
      </c>
      <c r="D102" t="str">
        <f>VLOOKUP('[1]tblclients (1)'!A102,[1]Feuil1!$A$1:$G$203,4,0)</f>
        <v xml:space="preserve">GOHI </v>
      </c>
      <c r="E102" t="s">
        <v>672</v>
      </c>
      <c r="F102" t="s">
        <v>672</v>
      </c>
      <c r="G102" t="s">
        <v>1083</v>
      </c>
      <c r="H102" t="s">
        <v>1084</v>
      </c>
      <c r="I102" t="s">
        <v>672</v>
      </c>
      <c r="J102" t="s">
        <v>704</v>
      </c>
      <c r="K102" t="s">
        <v>677</v>
      </c>
      <c r="L102" t="s">
        <v>672</v>
      </c>
      <c r="M102" t="s">
        <v>672</v>
      </c>
      <c r="N102" t="s">
        <v>672</v>
      </c>
      <c r="O102" t="s">
        <v>692</v>
      </c>
      <c r="P102" t="s">
        <v>672</v>
      </c>
      <c r="Q102" t="s">
        <v>672</v>
      </c>
      <c r="R102" t="s">
        <v>672</v>
      </c>
      <c r="S102">
        <v>555800500</v>
      </c>
      <c r="T102">
        <v>54</v>
      </c>
      <c r="U102" t="s">
        <v>673</v>
      </c>
      <c r="V102" t="s">
        <v>672</v>
      </c>
      <c r="W102" t="s">
        <v>672</v>
      </c>
      <c r="X102" t="s">
        <v>1082</v>
      </c>
      <c r="Y102" t="s">
        <v>672</v>
      </c>
      <c r="Z102" s="1">
        <v>44589</v>
      </c>
      <c r="AA102">
        <v>1</v>
      </c>
    </row>
    <row r="103" spans="1:27">
      <c r="A103" t="s">
        <v>82</v>
      </c>
      <c r="B103">
        <v>103</v>
      </c>
      <c r="C103" t="s">
        <v>83</v>
      </c>
      <c r="D103" t="str">
        <f>VLOOKUP('[1]tblclients (1)'!A103,[1]Feuil1!$A$1:$G$203,4,0)</f>
        <v xml:space="preserve">GOHI </v>
      </c>
      <c r="E103" t="s">
        <v>672</v>
      </c>
      <c r="F103" t="s">
        <v>672</v>
      </c>
      <c r="G103" t="s">
        <v>1085</v>
      </c>
      <c r="H103" t="s">
        <v>1086</v>
      </c>
      <c r="I103" t="s">
        <v>672</v>
      </c>
      <c r="J103" t="s">
        <v>704</v>
      </c>
      <c r="K103" t="s">
        <v>677</v>
      </c>
      <c r="L103" t="s">
        <v>672</v>
      </c>
      <c r="M103" t="s">
        <v>672</v>
      </c>
      <c r="N103" t="s">
        <v>672</v>
      </c>
      <c r="O103" t="s">
        <v>678</v>
      </c>
      <c r="P103" t="s">
        <v>672</v>
      </c>
      <c r="Q103" t="s">
        <v>672</v>
      </c>
      <c r="R103" t="s">
        <v>672</v>
      </c>
      <c r="S103">
        <v>757921316</v>
      </c>
      <c r="T103">
        <v>54</v>
      </c>
      <c r="U103" t="s">
        <v>673</v>
      </c>
      <c r="V103" t="s">
        <v>672</v>
      </c>
      <c r="W103" t="s">
        <v>672</v>
      </c>
      <c r="X103" t="s">
        <v>859</v>
      </c>
      <c r="Y103" t="s">
        <v>672</v>
      </c>
      <c r="Z103" s="1">
        <v>44472</v>
      </c>
      <c r="AA103">
        <v>1</v>
      </c>
    </row>
    <row r="104" spans="1:27">
      <c r="A104" t="s">
        <v>4</v>
      </c>
      <c r="B104">
        <v>104</v>
      </c>
      <c r="C104" t="s">
        <v>5</v>
      </c>
      <c r="D104" t="str">
        <f>VLOOKUP('[1]tblclients (1)'!A104,[1]Feuil1!$A$1:$G$203,4,0)</f>
        <v>CABINET CFA</v>
      </c>
      <c r="E104" t="s">
        <v>672</v>
      </c>
      <c r="F104" t="s">
        <v>672</v>
      </c>
      <c r="G104" t="s">
        <v>1088</v>
      </c>
      <c r="H104" t="s">
        <v>759</v>
      </c>
      <c r="I104" t="s">
        <v>672</v>
      </c>
      <c r="J104" t="s">
        <v>704</v>
      </c>
      <c r="K104" t="s">
        <v>677</v>
      </c>
      <c r="L104" t="s">
        <v>672</v>
      </c>
      <c r="M104" t="s">
        <v>672</v>
      </c>
      <c r="N104" t="s">
        <v>672</v>
      </c>
      <c r="O104" t="s">
        <v>705</v>
      </c>
      <c r="P104" t="s">
        <v>672</v>
      </c>
      <c r="Q104" t="s">
        <v>672</v>
      </c>
      <c r="R104" t="s">
        <v>672</v>
      </c>
      <c r="S104">
        <v>708514241</v>
      </c>
      <c r="T104">
        <v>54</v>
      </c>
      <c r="U104" t="s">
        <v>673</v>
      </c>
      <c r="V104" t="s">
        <v>672</v>
      </c>
      <c r="W104" t="s">
        <v>672</v>
      </c>
      <c r="X104" t="s">
        <v>1087</v>
      </c>
      <c r="Y104" t="s">
        <v>672</v>
      </c>
      <c r="Z104" s="1">
        <v>43479</v>
      </c>
      <c r="AA104">
        <v>1</v>
      </c>
    </row>
    <row r="105" spans="1:27">
      <c r="A105" t="s">
        <v>0</v>
      </c>
      <c r="B105">
        <v>105</v>
      </c>
      <c r="C105" t="s">
        <v>1089</v>
      </c>
      <c r="D105" t="str">
        <f>VLOOKUP('[1]tblclients (1)'!A105,[1]Feuil1!$A$1:$G$203,4,0)</f>
        <v>CABINET CFA</v>
      </c>
      <c r="E105" t="s">
        <v>672</v>
      </c>
      <c r="F105" t="s">
        <v>672</v>
      </c>
      <c r="G105" t="s">
        <v>1091</v>
      </c>
      <c r="H105" t="s">
        <v>1092</v>
      </c>
      <c r="I105" t="s">
        <v>672</v>
      </c>
      <c r="J105" t="s">
        <v>704</v>
      </c>
      <c r="K105" t="s">
        <v>677</v>
      </c>
      <c r="L105" t="s">
        <v>672</v>
      </c>
      <c r="M105" t="s">
        <v>672</v>
      </c>
      <c r="N105" t="s">
        <v>672</v>
      </c>
      <c r="O105" t="s">
        <v>692</v>
      </c>
      <c r="P105" t="s">
        <v>672</v>
      </c>
      <c r="Q105" t="s">
        <v>672</v>
      </c>
      <c r="R105" t="s">
        <v>672</v>
      </c>
      <c r="S105">
        <v>708047428</v>
      </c>
      <c r="T105">
        <v>54</v>
      </c>
      <c r="U105" t="s">
        <v>673</v>
      </c>
      <c r="V105" t="s">
        <v>672</v>
      </c>
      <c r="W105" t="s">
        <v>672</v>
      </c>
      <c r="X105" t="s">
        <v>1090</v>
      </c>
      <c r="Y105" t="s">
        <v>672</v>
      </c>
      <c r="Z105" s="1">
        <v>44224</v>
      </c>
      <c r="AA105">
        <v>1</v>
      </c>
    </row>
    <row r="106" spans="1:27">
      <c r="A106" t="s">
        <v>646</v>
      </c>
      <c r="B106">
        <v>106</v>
      </c>
      <c r="C106" t="s">
        <v>647</v>
      </c>
      <c r="D106" t="str">
        <f>VLOOKUP('[1]tblclients (1)'!A106,[1]Feuil1!$A$1:$G$203,4,0)</f>
        <v>CABINET CFA</v>
      </c>
      <c r="E106" t="s">
        <v>672</v>
      </c>
      <c r="F106" t="s">
        <v>672</v>
      </c>
      <c r="G106" t="s">
        <v>1094</v>
      </c>
      <c r="H106" t="s">
        <v>1095</v>
      </c>
      <c r="I106" t="s">
        <v>672</v>
      </c>
      <c r="J106" t="s">
        <v>676</v>
      </c>
      <c r="K106" t="s">
        <v>677</v>
      </c>
      <c r="L106" t="s">
        <v>672</v>
      </c>
      <c r="M106" t="s">
        <v>672</v>
      </c>
      <c r="N106" t="s">
        <v>672</v>
      </c>
      <c r="O106" t="s">
        <v>692</v>
      </c>
      <c r="P106" t="s">
        <v>672</v>
      </c>
      <c r="Q106" t="s">
        <v>672</v>
      </c>
      <c r="R106" t="s">
        <v>672</v>
      </c>
      <c r="S106">
        <v>505074836</v>
      </c>
      <c r="T106">
        <v>54</v>
      </c>
      <c r="U106" t="s">
        <v>673</v>
      </c>
      <c r="V106" t="s">
        <v>672</v>
      </c>
      <c r="W106" t="s">
        <v>672</v>
      </c>
      <c r="X106" t="s">
        <v>1093</v>
      </c>
      <c r="Y106" t="s">
        <v>672</v>
      </c>
      <c r="Z106" t="s">
        <v>2144</v>
      </c>
      <c r="AA106">
        <v>1</v>
      </c>
    </row>
    <row r="107" spans="1:27">
      <c r="A107" t="s">
        <v>636</v>
      </c>
      <c r="B107">
        <v>107</v>
      </c>
      <c r="C107" t="s">
        <v>1096</v>
      </c>
      <c r="D107" t="str">
        <f>VLOOKUP('[1]tblclients (1)'!A107,[1]Feuil1!$A$1:$G$203,4,0)</f>
        <v>CABINET CFA</v>
      </c>
      <c r="E107" t="s">
        <v>672</v>
      </c>
      <c r="F107" t="s">
        <v>672</v>
      </c>
      <c r="G107" t="s">
        <v>1098</v>
      </c>
      <c r="H107" t="s">
        <v>1099</v>
      </c>
      <c r="I107" t="s">
        <v>672</v>
      </c>
      <c r="J107" t="s">
        <v>676</v>
      </c>
      <c r="K107" t="s">
        <v>677</v>
      </c>
      <c r="L107" t="s">
        <v>672</v>
      </c>
      <c r="M107" t="s">
        <v>672</v>
      </c>
      <c r="N107" t="s">
        <v>672</v>
      </c>
      <c r="O107" t="s">
        <v>687</v>
      </c>
      <c r="P107" t="s">
        <v>672</v>
      </c>
      <c r="Q107" t="s">
        <v>672</v>
      </c>
      <c r="R107" t="s">
        <v>672</v>
      </c>
      <c r="T107">
        <v>54</v>
      </c>
      <c r="U107" t="s">
        <v>673</v>
      </c>
      <c r="V107" t="s">
        <v>672</v>
      </c>
      <c r="W107" t="s">
        <v>672</v>
      </c>
      <c r="X107" t="s">
        <v>1097</v>
      </c>
      <c r="Y107" t="s">
        <v>672</v>
      </c>
      <c r="Z107" s="1">
        <v>44224</v>
      </c>
      <c r="AA107">
        <v>1</v>
      </c>
    </row>
    <row r="108" spans="1:27">
      <c r="A108" t="s">
        <v>622</v>
      </c>
      <c r="B108">
        <v>108</v>
      </c>
      <c r="C108" t="s">
        <v>1100</v>
      </c>
      <c r="D108" t="str">
        <f>VLOOKUP('[1]tblclients (1)'!A108,[1]Feuil1!$A$1:$G$203,4,0)</f>
        <v>CABINET CFA</v>
      </c>
      <c r="E108" t="s">
        <v>672</v>
      </c>
      <c r="F108" t="s">
        <v>672</v>
      </c>
      <c r="G108" t="s">
        <v>1102</v>
      </c>
      <c r="H108" t="s">
        <v>1103</v>
      </c>
      <c r="I108" t="s">
        <v>672</v>
      </c>
      <c r="J108" t="s">
        <v>676</v>
      </c>
      <c r="K108" t="s">
        <v>677</v>
      </c>
      <c r="L108" t="s">
        <v>672</v>
      </c>
      <c r="M108" t="s">
        <v>672</v>
      </c>
      <c r="N108" t="s">
        <v>672</v>
      </c>
      <c r="O108" t="s">
        <v>705</v>
      </c>
      <c r="P108" t="s">
        <v>672</v>
      </c>
      <c r="Q108" t="s">
        <v>672</v>
      </c>
      <c r="R108" t="s">
        <v>672</v>
      </c>
      <c r="S108">
        <v>505994154</v>
      </c>
      <c r="T108">
        <v>54</v>
      </c>
      <c r="U108" t="s">
        <v>673</v>
      </c>
      <c r="V108" t="s">
        <v>672</v>
      </c>
      <c r="W108" t="s">
        <v>672</v>
      </c>
      <c r="X108" t="s">
        <v>1101</v>
      </c>
      <c r="Y108" t="s">
        <v>672</v>
      </c>
      <c r="Z108" s="1">
        <v>44208</v>
      </c>
      <c r="AA108">
        <v>1</v>
      </c>
    </row>
    <row r="109" spans="1:27">
      <c r="A109" t="s">
        <v>1105</v>
      </c>
      <c r="B109">
        <v>109</v>
      </c>
      <c r="C109" t="s">
        <v>1104</v>
      </c>
      <c r="D109" t="str">
        <f>VLOOKUP('[1]tblclients (1)'!A109,[1]Feuil1!$A$1:$G$203,4,0)</f>
        <v>CABINET CFA</v>
      </c>
      <c r="E109" t="s">
        <v>672</v>
      </c>
      <c r="F109" t="s">
        <v>672</v>
      </c>
      <c r="G109" t="s">
        <v>1106</v>
      </c>
      <c r="H109" t="s">
        <v>1107</v>
      </c>
      <c r="I109" t="s">
        <v>672</v>
      </c>
      <c r="J109" t="s">
        <v>676</v>
      </c>
      <c r="K109" t="s">
        <v>677</v>
      </c>
      <c r="L109" t="s">
        <v>672</v>
      </c>
      <c r="M109" t="s">
        <v>672</v>
      </c>
      <c r="N109" t="s">
        <v>672</v>
      </c>
      <c r="O109" t="s">
        <v>705</v>
      </c>
      <c r="P109" t="s">
        <v>672</v>
      </c>
      <c r="Q109" t="s">
        <v>672</v>
      </c>
      <c r="R109" t="s">
        <v>672</v>
      </c>
      <c r="T109">
        <v>54</v>
      </c>
      <c r="U109" t="s">
        <v>673</v>
      </c>
      <c r="V109" t="s">
        <v>672</v>
      </c>
      <c r="W109" t="s">
        <v>672</v>
      </c>
      <c r="Y109" t="s">
        <v>672</v>
      </c>
      <c r="Z109" s="1">
        <v>43851</v>
      </c>
      <c r="AA109">
        <v>1</v>
      </c>
    </row>
    <row r="110" spans="1:27">
      <c r="A110" t="s">
        <v>606</v>
      </c>
      <c r="B110">
        <v>110</v>
      </c>
      <c r="C110" t="s">
        <v>607</v>
      </c>
      <c r="D110" t="str">
        <f>VLOOKUP('[1]tblclients (1)'!A110,[1]Feuil1!$A$1:$G$203,4,0)</f>
        <v>CABINET CFA</v>
      </c>
      <c r="E110" t="s">
        <v>672</v>
      </c>
      <c r="F110" t="s">
        <v>672</v>
      </c>
      <c r="G110" t="s">
        <v>1109</v>
      </c>
      <c r="H110" t="s">
        <v>1110</v>
      </c>
      <c r="I110" t="s">
        <v>672</v>
      </c>
      <c r="J110" t="s">
        <v>676</v>
      </c>
      <c r="K110" t="s">
        <v>677</v>
      </c>
      <c r="L110" t="s">
        <v>672</v>
      </c>
      <c r="M110" t="s">
        <v>672</v>
      </c>
      <c r="N110" t="s">
        <v>672</v>
      </c>
      <c r="O110" t="s">
        <v>705</v>
      </c>
      <c r="P110" t="s">
        <v>672</v>
      </c>
      <c r="Q110" t="s">
        <v>672</v>
      </c>
      <c r="R110" t="s">
        <v>672</v>
      </c>
      <c r="S110">
        <v>709155178</v>
      </c>
      <c r="T110">
        <v>54</v>
      </c>
      <c r="U110" t="s">
        <v>673</v>
      </c>
      <c r="V110" t="s">
        <v>672</v>
      </c>
      <c r="W110" t="s">
        <v>672</v>
      </c>
      <c r="X110" t="s">
        <v>1108</v>
      </c>
      <c r="Y110" t="s">
        <v>672</v>
      </c>
      <c r="Z110" s="1">
        <v>44209</v>
      </c>
      <c r="AA110">
        <v>1</v>
      </c>
    </row>
    <row r="111" spans="1:27">
      <c r="A111" t="s">
        <v>600</v>
      </c>
      <c r="B111">
        <v>111</v>
      </c>
      <c r="C111" t="s">
        <v>601</v>
      </c>
      <c r="D111" t="str">
        <f>VLOOKUP('[1]tblclients (1)'!A111,[1]Feuil1!$A$1:$G$203,4,0)</f>
        <v>CABINET CFA</v>
      </c>
      <c r="E111" t="s">
        <v>672</v>
      </c>
      <c r="F111" t="s">
        <v>672</v>
      </c>
      <c r="G111" t="s">
        <v>1112</v>
      </c>
      <c r="H111" t="s">
        <v>1113</v>
      </c>
      <c r="I111" t="s">
        <v>672</v>
      </c>
      <c r="J111" t="s">
        <v>676</v>
      </c>
      <c r="K111" t="s">
        <v>677</v>
      </c>
      <c r="L111" t="s">
        <v>672</v>
      </c>
      <c r="M111" t="s">
        <v>672</v>
      </c>
      <c r="N111" t="s">
        <v>672</v>
      </c>
      <c r="O111" t="s">
        <v>742</v>
      </c>
      <c r="P111" t="s">
        <v>672</v>
      </c>
      <c r="Q111" t="s">
        <v>672</v>
      </c>
      <c r="R111" t="s">
        <v>672</v>
      </c>
      <c r="S111">
        <v>707041477</v>
      </c>
      <c r="T111">
        <v>54</v>
      </c>
      <c r="U111" t="s">
        <v>673</v>
      </c>
      <c r="V111" t="s">
        <v>672</v>
      </c>
      <c r="W111" t="s">
        <v>672</v>
      </c>
      <c r="X111" t="s">
        <v>1111</v>
      </c>
      <c r="Y111" t="s">
        <v>672</v>
      </c>
      <c r="Z111" s="1">
        <v>44224</v>
      </c>
      <c r="AA111">
        <v>1</v>
      </c>
    </row>
    <row r="112" spans="1:27">
      <c r="A112" t="s">
        <v>484</v>
      </c>
      <c r="B112">
        <v>112</v>
      </c>
      <c r="C112" t="s">
        <v>1114</v>
      </c>
      <c r="D112" t="str">
        <f>VLOOKUP('[1]tblclients (1)'!A112,[1]Feuil1!$A$1:$G$203,4,0)</f>
        <v>CABINET CFA</v>
      </c>
      <c r="E112" t="s">
        <v>672</v>
      </c>
      <c r="F112" t="s">
        <v>672</v>
      </c>
      <c r="G112" t="s">
        <v>1115</v>
      </c>
      <c r="H112" t="s">
        <v>1116</v>
      </c>
      <c r="I112" t="s">
        <v>672</v>
      </c>
      <c r="J112" t="s">
        <v>676</v>
      </c>
      <c r="K112" t="s">
        <v>677</v>
      </c>
      <c r="L112" t="s">
        <v>672</v>
      </c>
      <c r="M112" t="s">
        <v>672</v>
      </c>
      <c r="N112" t="s">
        <v>672</v>
      </c>
      <c r="O112" t="s">
        <v>705</v>
      </c>
      <c r="P112" t="s">
        <v>672</v>
      </c>
      <c r="Q112" t="s">
        <v>672</v>
      </c>
      <c r="R112" t="s">
        <v>672</v>
      </c>
      <c r="S112">
        <v>709092095</v>
      </c>
      <c r="T112">
        <v>54</v>
      </c>
      <c r="U112" t="s">
        <v>673</v>
      </c>
      <c r="V112" t="s">
        <v>672</v>
      </c>
      <c r="W112" t="s">
        <v>672</v>
      </c>
      <c r="X112" t="s">
        <v>2147</v>
      </c>
      <c r="Y112" t="s">
        <v>672</v>
      </c>
      <c r="Z112" s="1">
        <v>44212</v>
      </c>
      <c r="AA112">
        <v>1</v>
      </c>
    </row>
    <row r="113" spans="1:27">
      <c r="A113" t="s">
        <v>596</v>
      </c>
      <c r="B113">
        <v>113</v>
      </c>
      <c r="C113" t="s">
        <v>597</v>
      </c>
      <c r="D113" t="str">
        <f>VLOOKUP('[1]tblclients (1)'!A113,[1]Feuil1!$A$1:$G$203,4,0)</f>
        <v>CABINET CFA</v>
      </c>
      <c r="E113" t="s">
        <v>672</v>
      </c>
      <c r="F113" t="s">
        <v>672</v>
      </c>
      <c r="G113" t="s">
        <v>1118</v>
      </c>
      <c r="H113" t="s">
        <v>1119</v>
      </c>
      <c r="I113" t="s">
        <v>672</v>
      </c>
      <c r="J113" t="s">
        <v>676</v>
      </c>
      <c r="K113" t="s">
        <v>677</v>
      </c>
      <c r="L113" t="s">
        <v>672</v>
      </c>
      <c r="M113" t="s">
        <v>672</v>
      </c>
      <c r="N113" t="s">
        <v>672</v>
      </c>
      <c r="O113" t="s">
        <v>798</v>
      </c>
      <c r="P113" t="s">
        <v>672</v>
      </c>
      <c r="Q113" t="s">
        <v>672</v>
      </c>
      <c r="R113" t="s">
        <v>672</v>
      </c>
      <c r="S113">
        <v>707275282</v>
      </c>
      <c r="T113">
        <v>54</v>
      </c>
      <c r="U113" t="s">
        <v>673</v>
      </c>
      <c r="V113" t="s">
        <v>672</v>
      </c>
      <c r="W113" t="s">
        <v>672</v>
      </c>
      <c r="X113" t="s">
        <v>1117</v>
      </c>
      <c r="Y113" t="s">
        <v>672</v>
      </c>
      <c r="Z113" s="1">
        <v>43901</v>
      </c>
      <c r="AA113">
        <v>1</v>
      </c>
    </row>
    <row r="114" spans="1:27">
      <c r="A114" t="s">
        <v>594</v>
      </c>
      <c r="B114">
        <v>114</v>
      </c>
      <c r="C114" t="s">
        <v>595</v>
      </c>
      <c r="D114" t="str">
        <f>VLOOKUP('[1]tblclients (1)'!A114,[1]Feuil1!$A$1:$G$203,4,0)</f>
        <v>CABINET CFA</v>
      </c>
      <c r="E114" t="s">
        <v>672</v>
      </c>
      <c r="F114" t="s">
        <v>672</v>
      </c>
      <c r="G114" t="s">
        <v>1121</v>
      </c>
      <c r="H114" t="s">
        <v>1122</v>
      </c>
      <c r="I114" t="s">
        <v>672</v>
      </c>
      <c r="J114" t="s">
        <v>704</v>
      </c>
      <c r="K114" t="s">
        <v>712</v>
      </c>
      <c r="L114" t="s">
        <v>672</v>
      </c>
      <c r="M114" t="s">
        <v>672</v>
      </c>
      <c r="N114" t="s">
        <v>672</v>
      </c>
      <c r="O114" t="s">
        <v>678</v>
      </c>
      <c r="P114" t="s">
        <v>672</v>
      </c>
      <c r="Q114" t="s">
        <v>672</v>
      </c>
      <c r="R114" t="s">
        <v>672</v>
      </c>
      <c r="S114">
        <v>506532640</v>
      </c>
      <c r="T114">
        <v>54</v>
      </c>
      <c r="U114" t="s">
        <v>673</v>
      </c>
      <c r="V114" t="s">
        <v>672</v>
      </c>
      <c r="W114" t="s">
        <v>672</v>
      </c>
      <c r="X114" t="s">
        <v>1120</v>
      </c>
      <c r="Y114" t="s">
        <v>672</v>
      </c>
      <c r="Z114" s="1">
        <v>44589</v>
      </c>
      <c r="AA114">
        <v>1</v>
      </c>
    </row>
    <row r="115" spans="1:27">
      <c r="A115" t="s">
        <v>566</v>
      </c>
      <c r="B115">
        <v>115</v>
      </c>
      <c r="C115" t="s">
        <v>567</v>
      </c>
      <c r="D115" t="str">
        <f>VLOOKUP('[1]tblclients (1)'!A115,[1]Feuil1!$A$1:$G$203,4,0)</f>
        <v>KODJO KOFFI</v>
      </c>
      <c r="E115" t="s">
        <v>672</v>
      </c>
      <c r="F115" t="s">
        <v>672</v>
      </c>
      <c r="G115" t="s">
        <v>1124</v>
      </c>
      <c r="H115" t="s">
        <v>1125</v>
      </c>
      <c r="I115" t="s">
        <v>672</v>
      </c>
      <c r="J115" t="s">
        <v>704</v>
      </c>
      <c r="K115" t="s">
        <v>677</v>
      </c>
      <c r="L115" t="s">
        <v>672</v>
      </c>
      <c r="M115" t="s">
        <v>672</v>
      </c>
      <c r="N115" t="s">
        <v>672</v>
      </c>
      <c r="O115" t="s">
        <v>705</v>
      </c>
      <c r="P115" t="s">
        <v>672</v>
      </c>
      <c r="Q115" t="s">
        <v>672</v>
      </c>
      <c r="R115" t="s">
        <v>672</v>
      </c>
      <c r="S115">
        <v>747417993</v>
      </c>
      <c r="T115">
        <v>54</v>
      </c>
      <c r="U115" t="s">
        <v>673</v>
      </c>
      <c r="V115" t="s">
        <v>672</v>
      </c>
      <c r="W115" t="s">
        <v>672</v>
      </c>
      <c r="X115" t="s">
        <v>1123</v>
      </c>
      <c r="Y115" t="s">
        <v>672</v>
      </c>
      <c r="Z115" s="1">
        <v>44592</v>
      </c>
      <c r="AA115">
        <v>1</v>
      </c>
    </row>
    <row r="116" spans="1:27">
      <c r="A116" t="s">
        <v>1126</v>
      </c>
      <c r="B116">
        <v>116</v>
      </c>
      <c r="C116" t="s">
        <v>537</v>
      </c>
      <c r="D116" t="str">
        <f>VLOOKUP('[1]tblclients (1)'!A116,[1]Feuil1!$A$1:$G$203,4,0)</f>
        <v>KODJO KOFFI</v>
      </c>
      <c r="E116" t="s">
        <v>672</v>
      </c>
      <c r="F116" t="s">
        <v>672</v>
      </c>
      <c r="G116" t="s">
        <v>1127</v>
      </c>
      <c r="H116" t="s">
        <v>1128</v>
      </c>
      <c r="I116" t="s">
        <v>672</v>
      </c>
      <c r="J116" t="s">
        <v>704</v>
      </c>
      <c r="K116" t="s">
        <v>677</v>
      </c>
      <c r="L116" t="s">
        <v>672</v>
      </c>
      <c r="M116" t="s">
        <v>672</v>
      </c>
      <c r="N116" t="s">
        <v>672</v>
      </c>
      <c r="O116" t="s">
        <v>705</v>
      </c>
      <c r="P116" t="s">
        <v>672</v>
      </c>
      <c r="Q116" t="s">
        <v>672</v>
      </c>
      <c r="R116" t="s">
        <v>672</v>
      </c>
      <c r="S116">
        <v>757261343</v>
      </c>
      <c r="T116">
        <v>54</v>
      </c>
      <c r="U116" t="s">
        <v>673</v>
      </c>
      <c r="V116" t="s">
        <v>672</v>
      </c>
      <c r="W116" t="s">
        <v>672</v>
      </c>
      <c r="X116" t="s">
        <v>852</v>
      </c>
      <c r="Y116" t="s">
        <v>672</v>
      </c>
      <c r="Z116" s="1">
        <v>44224</v>
      </c>
      <c r="AA116">
        <v>1</v>
      </c>
    </row>
    <row r="117" spans="1:27">
      <c r="A117" t="s">
        <v>488</v>
      </c>
      <c r="B117">
        <v>117</v>
      </c>
      <c r="C117" t="s">
        <v>1129</v>
      </c>
      <c r="D117" t="str">
        <f>VLOOKUP('[1]tblclients (1)'!A117,[1]Feuil1!$A$1:$G$203,4,0)</f>
        <v>CABINET CFA</v>
      </c>
      <c r="E117" t="s">
        <v>672</v>
      </c>
      <c r="F117" t="s">
        <v>672</v>
      </c>
      <c r="G117" t="s">
        <v>1131</v>
      </c>
      <c r="H117" t="s">
        <v>1132</v>
      </c>
      <c r="I117" t="s">
        <v>672</v>
      </c>
      <c r="J117" t="s">
        <v>676</v>
      </c>
      <c r="K117" t="s">
        <v>677</v>
      </c>
      <c r="L117" t="s">
        <v>672</v>
      </c>
      <c r="M117" t="s">
        <v>672</v>
      </c>
      <c r="N117" t="s">
        <v>672</v>
      </c>
      <c r="O117" t="s">
        <v>705</v>
      </c>
      <c r="P117" t="s">
        <v>672</v>
      </c>
      <c r="Q117" t="s">
        <v>672</v>
      </c>
      <c r="R117" t="s">
        <v>672</v>
      </c>
      <c r="S117">
        <v>707803420</v>
      </c>
      <c r="T117">
        <v>54</v>
      </c>
      <c r="U117" t="s">
        <v>673</v>
      </c>
      <c r="V117" t="s">
        <v>672</v>
      </c>
      <c r="W117" t="s">
        <v>672</v>
      </c>
      <c r="X117" t="s">
        <v>1130</v>
      </c>
      <c r="Y117" t="s">
        <v>672</v>
      </c>
      <c r="Z117" s="1">
        <v>43851</v>
      </c>
      <c r="AA117">
        <v>1</v>
      </c>
    </row>
    <row r="118" spans="1:27">
      <c r="A118" t="s">
        <v>486</v>
      </c>
      <c r="B118">
        <v>118</v>
      </c>
      <c r="C118" t="s">
        <v>487</v>
      </c>
      <c r="D118" t="str">
        <f>VLOOKUP('[1]tblclients (1)'!A118,[1]Feuil1!$A$1:$G$203,4,0)</f>
        <v>CABINET CFA</v>
      </c>
      <c r="E118" t="s">
        <v>672</v>
      </c>
      <c r="F118" t="s">
        <v>672</v>
      </c>
      <c r="G118" t="s">
        <v>1133</v>
      </c>
      <c r="H118" t="s">
        <v>1134</v>
      </c>
      <c r="I118" t="s">
        <v>672</v>
      </c>
      <c r="J118" t="s">
        <v>676</v>
      </c>
      <c r="K118" t="s">
        <v>1135</v>
      </c>
      <c r="L118" t="s">
        <v>672</v>
      </c>
      <c r="M118" t="s">
        <v>672</v>
      </c>
      <c r="N118" t="s">
        <v>672</v>
      </c>
      <c r="O118" t="s">
        <v>705</v>
      </c>
      <c r="P118" t="s">
        <v>672</v>
      </c>
      <c r="Q118" t="s">
        <v>672</v>
      </c>
      <c r="R118" t="s">
        <v>672</v>
      </c>
      <c r="S118">
        <v>747439538</v>
      </c>
      <c r="T118">
        <v>54</v>
      </c>
      <c r="U118" t="s">
        <v>673</v>
      </c>
      <c r="V118" t="s">
        <v>672</v>
      </c>
      <c r="W118" t="s">
        <v>672</v>
      </c>
      <c r="X118" t="s">
        <v>1079</v>
      </c>
      <c r="Y118" t="s">
        <v>672</v>
      </c>
      <c r="Z118" s="1">
        <v>44760</v>
      </c>
      <c r="AA118">
        <v>1</v>
      </c>
    </row>
    <row r="119" spans="1:27">
      <c r="A119" t="s">
        <v>484</v>
      </c>
      <c r="B119">
        <v>119</v>
      </c>
      <c r="C119" t="s">
        <v>485</v>
      </c>
      <c r="D119" t="str">
        <f>VLOOKUP('[1]tblclients (1)'!A119,[1]Feuil1!$A$1:$G$203,4,0)</f>
        <v>CABINET CFA</v>
      </c>
      <c r="E119" t="s">
        <v>672</v>
      </c>
      <c r="F119" t="s">
        <v>672</v>
      </c>
      <c r="G119" t="s">
        <v>1137</v>
      </c>
      <c r="H119" t="s">
        <v>1116</v>
      </c>
      <c r="I119" t="s">
        <v>672</v>
      </c>
      <c r="J119" t="s">
        <v>676</v>
      </c>
      <c r="K119" t="s">
        <v>677</v>
      </c>
      <c r="L119" t="s">
        <v>672</v>
      </c>
      <c r="M119" t="s">
        <v>672</v>
      </c>
      <c r="N119" t="s">
        <v>672</v>
      </c>
      <c r="O119" t="s">
        <v>705</v>
      </c>
      <c r="P119" t="s">
        <v>672</v>
      </c>
      <c r="Q119" t="s">
        <v>672</v>
      </c>
      <c r="R119" t="s">
        <v>672</v>
      </c>
      <c r="S119">
        <v>707092095</v>
      </c>
      <c r="T119">
        <v>54</v>
      </c>
      <c r="U119" t="s">
        <v>673</v>
      </c>
      <c r="V119" t="s">
        <v>672</v>
      </c>
      <c r="W119" t="s">
        <v>672</v>
      </c>
      <c r="X119" t="s">
        <v>1136</v>
      </c>
      <c r="Y119" t="s">
        <v>672</v>
      </c>
      <c r="Z119" s="1">
        <v>44212</v>
      </c>
      <c r="AA119">
        <v>1</v>
      </c>
    </row>
    <row r="120" spans="1:27">
      <c r="A120" t="s">
        <v>520</v>
      </c>
      <c r="B120">
        <v>120</v>
      </c>
      <c r="C120" t="s">
        <v>1138</v>
      </c>
      <c r="D120" t="str">
        <f>VLOOKUP('[1]tblclients (1)'!A120,[1]Feuil1!$A$1:$G$203,4,0)</f>
        <v>CABINET CFA</v>
      </c>
      <c r="E120" t="s">
        <v>672</v>
      </c>
      <c r="F120" t="s">
        <v>672</v>
      </c>
      <c r="G120" t="s">
        <v>1140</v>
      </c>
      <c r="H120" t="s">
        <v>1141</v>
      </c>
      <c r="I120" t="s">
        <v>672</v>
      </c>
      <c r="J120" t="s">
        <v>704</v>
      </c>
      <c r="K120" t="s">
        <v>677</v>
      </c>
      <c r="L120" t="s">
        <v>672</v>
      </c>
      <c r="M120" t="s">
        <v>672</v>
      </c>
      <c r="N120" t="s">
        <v>672</v>
      </c>
      <c r="O120" t="s">
        <v>798</v>
      </c>
      <c r="P120" t="s">
        <v>672</v>
      </c>
      <c r="Q120" t="s">
        <v>672</v>
      </c>
      <c r="R120" t="s">
        <v>672</v>
      </c>
      <c r="S120">
        <v>777746950</v>
      </c>
      <c r="T120">
        <v>54</v>
      </c>
      <c r="U120" t="s">
        <v>673</v>
      </c>
      <c r="V120" t="s">
        <v>672</v>
      </c>
      <c r="W120" t="s">
        <v>672</v>
      </c>
      <c r="X120" t="s">
        <v>1139</v>
      </c>
      <c r="Y120" t="s">
        <v>672</v>
      </c>
      <c r="Z120" s="1">
        <v>43905</v>
      </c>
      <c r="AA120">
        <v>1</v>
      </c>
    </row>
    <row r="121" spans="1:27">
      <c r="A121" t="s">
        <v>1143</v>
      </c>
      <c r="B121">
        <v>121</v>
      </c>
      <c r="C121" t="s">
        <v>479</v>
      </c>
      <c r="D121" t="str">
        <f>VLOOKUP('[1]tblclients (1)'!A121,[1]Feuil1!$A$1:$G$203,4,0)</f>
        <v>CABINET CFA</v>
      </c>
      <c r="E121" t="s">
        <v>672</v>
      </c>
      <c r="F121" t="s">
        <v>672</v>
      </c>
      <c r="G121" t="s">
        <v>1144</v>
      </c>
      <c r="H121" t="s">
        <v>1145</v>
      </c>
      <c r="I121" t="s">
        <v>672</v>
      </c>
      <c r="J121" t="s">
        <v>704</v>
      </c>
      <c r="K121" t="s">
        <v>677</v>
      </c>
      <c r="L121" t="s">
        <v>672</v>
      </c>
      <c r="M121" t="s">
        <v>672</v>
      </c>
      <c r="N121" t="s">
        <v>672</v>
      </c>
      <c r="O121" t="s">
        <v>692</v>
      </c>
      <c r="P121" t="s">
        <v>672</v>
      </c>
      <c r="Q121" t="s">
        <v>672</v>
      </c>
      <c r="R121" t="s">
        <v>672</v>
      </c>
      <c r="S121">
        <v>707100276</v>
      </c>
      <c r="T121">
        <v>54</v>
      </c>
      <c r="U121" t="s">
        <v>673</v>
      </c>
      <c r="V121" t="s">
        <v>672</v>
      </c>
      <c r="W121" t="s">
        <v>672</v>
      </c>
      <c r="X121" t="s">
        <v>1142</v>
      </c>
      <c r="Y121" t="s">
        <v>672</v>
      </c>
      <c r="Z121" s="1">
        <v>44942</v>
      </c>
      <c r="AA121">
        <v>1</v>
      </c>
    </row>
    <row r="122" spans="1:27">
      <c r="A122" t="s">
        <v>474</v>
      </c>
      <c r="B122">
        <v>122</v>
      </c>
      <c r="C122" t="s">
        <v>1146</v>
      </c>
      <c r="D122" t="str">
        <f>VLOOKUP('[1]tblclients (1)'!A122,[1]Feuil1!$A$1:$G$203,4,0)</f>
        <v>CABINET CFA</v>
      </c>
      <c r="E122" t="s">
        <v>672</v>
      </c>
      <c r="F122" t="s">
        <v>672</v>
      </c>
      <c r="G122" t="s">
        <v>1148</v>
      </c>
      <c r="H122" t="s">
        <v>1149</v>
      </c>
      <c r="I122" t="s">
        <v>672</v>
      </c>
      <c r="J122" t="s">
        <v>704</v>
      </c>
      <c r="K122" t="s">
        <v>677</v>
      </c>
      <c r="L122" t="s">
        <v>672</v>
      </c>
      <c r="M122" t="s">
        <v>672</v>
      </c>
      <c r="N122" t="s">
        <v>672</v>
      </c>
      <c r="O122" t="s">
        <v>798</v>
      </c>
      <c r="P122" t="s">
        <v>672</v>
      </c>
      <c r="Q122" t="s">
        <v>672</v>
      </c>
      <c r="R122" t="s">
        <v>672</v>
      </c>
      <c r="S122">
        <v>707364821</v>
      </c>
      <c r="T122">
        <v>54</v>
      </c>
      <c r="U122" t="s">
        <v>673</v>
      </c>
      <c r="V122" t="s">
        <v>672</v>
      </c>
      <c r="W122" t="s">
        <v>672</v>
      </c>
      <c r="X122" t="s">
        <v>1147</v>
      </c>
      <c r="Y122" t="s">
        <v>672</v>
      </c>
      <c r="Z122" s="1">
        <v>44224</v>
      </c>
      <c r="AA122">
        <v>1</v>
      </c>
    </row>
    <row r="123" spans="1:27">
      <c r="A123" t="s">
        <v>464</v>
      </c>
      <c r="B123">
        <v>123</v>
      </c>
      <c r="C123" t="s">
        <v>1150</v>
      </c>
      <c r="D123" t="str">
        <f>VLOOKUP('[1]tblclients (1)'!A123,[1]Feuil1!$A$1:$G$203,4,0)</f>
        <v>KODJO KOFFI</v>
      </c>
      <c r="E123" t="s">
        <v>672</v>
      </c>
      <c r="F123" t="s">
        <v>672</v>
      </c>
      <c r="G123" t="s">
        <v>1152</v>
      </c>
      <c r="H123" t="s">
        <v>1153</v>
      </c>
      <c r="I123" t="s">
        <v>672</v>
      </c>
      <c r="J123" t="s">
        <v>704</v>
      </c>
      <c r="K123" t="s">
        <v>712</v>
      </c>
      <c r="L123" t="s">
        <v>672</v>
      </c>
      <c r="M123" t="s">
        <v>672</v>
      </c>
      <c r="N123" t="s">
        <v>672</v>
      </c>
      <c r="O123" t="s">
        <v>705</v>
      </c>
      <c r="P123" t="s">
        <v>672</v>
      </c>
      <c r="Q123" t="s">
        <v>672</v>
      </c>
      <c r="R123" t="s">
        <v>672</v>
      </c>
      <c r="S123">
        <v>21014000</v>
      </c>
      <c r="T123">
        <v>54</v>
      </c>
      <c r="U123" t="s">
        <v>673</v>
      </c>
      <c r="V123" t="s">
        <v>672</v>
      </c>
      <c r="W123" t="s">
        <v>672</v>
      </c>
      <c r="X123" t="s">
        <v>1151</v>
      </c>
      <c r="Y123" t="s">
        <v>672</v>
      </c>
      <c r="Z123" s="1">
        <v>44224</v>
      </c>
      <c r="AA123">
        <v>1</v>
      </c>
    </row>
    <row r="124" spans="1:27">
      <c r="A124" t="s">
        <v>462</v>
      </c>
      <c r="B124">
        <v>124</v>
      </c>
      <c r="C124" t="s">
        <v>1154</v>
      </c>
      <c r="D124" t="str">
        <f>VLOOKUP('[1]tblclients (1)'!A124,[1]Feuil1!$A$1:$G$203,4,0)</f>
        <v>CABINET CFA</v>
      </c>
      <c r="E124" t="s">
        <v>672</v>
      </c>
      <c r="F124" t="s">
        <v>672</v>
      </c>
      <c r="G124" t="s">
        <v>1156</v>
      </c>
      <c r="H124" t="s">
        <v>1157</v>
      </c>
      <c r="I124" t="s">
        <v>672</v>
      </c>
      <c r="J124" t="s">
        <v>676</v>
      </c>
      <c r="K124" t="s">
        <v>677</v>
      </c>
      <c r="L124" t="s">
        <v>672</v>
      </c>
      <c r="M124" t="s">
        <v>672</v>
      </c>
      <c r="N124" t="s">
        <v>672</v>
      </c>
      <c r="O124" t="s">
        <v>705</v>
      </c>
      <c r="P124" t="s">
        <v>672</v>
      </c>
      <c r="Q124" t="s">
        <v>672</v>
      </c>
      <c r="R124" t="s">
        <v>672</v>
      </c>
      <c r="T124">
        <v>54</v>
      </c>
      <c r="U124" t="s">
        <v>673</v>
      </c>
      <c r="V124" t="s">
        <v>672</v>
      </c>
      <c r="W124" t="s">
        <v>672</v>
      </c>
      <c r="X124" t="s">
        <v>1155</v>
      </c>
      <c r="Y124" t="s">
        <v>672</v>
      </c>
      <c r="Z124" s="1">
        <v>43859</v>
      </c>
      <c r="AA124">
        <v>1</v>
      </c>
    </row>
    <row r="125" spans="1:27">
      <c r="A125" t="s">
        <v>450</v>
      </c>
      <c r="B125">
        <v>125</v>
      </c>
      <c r="C125" t="s">
        <v>1158</v>
      </c>
      <c r="D125" t="str">
        <f>VLOOKUP('[1]tblclients (1)'!A125,[1]Feuil1!$A$1:$G$203,4,0)</f>
        <v>CABINET CFA</v>
      </c>
      <c r="E125" t="s">
        <v>672</v>
      </c>
      <c r="F125" t="s">
        <v>672</v>
      </c>
      <c r="G125" t="s">
        <v>1159</v>
      </c>
      <c r="H125" t="s">
        <v>1160</v>
      </c>
      <c r="I125" t="s">
        <v>672</v>
      </c>
      <c r="J125" t="s">
        <v>676</v>
      </c>
      <c r="K125" t="s">
        <v>677</v>
      </c>
      <c r="L125" t="s">
        <v>672</v>
      </c>
      <c r="M125" t="s">
        <v>672</v>
      </c>
      <c r="N125" t="s">
        <v>672</v>
      </c>
      <c r="O125" t="s">
        <v>705</v>
      </c>
      <c r="P125" t="s">
        <v>672</v>
      </c>
      <c r="Q125" t="s">
        <v>672</v>
      </c>
      <c r="R125" t="s">
        <v>672</v>
      </c>
      <c r="S125">
        <v>707049368</v>
      </c>
      <c r="T125">
        <v>54</v>
      </c>
      <c r="U125" t="s">
        <v>673</v>
      </c>
      <c r="V125" t="s">
        <v>672</v>
      </c>
      <c r="W125" t="s">
        <v>672</v>
      </c>
      <c r="X125" t="s">
        <v>778</v>
      </c>
      <c r="Y125" t="s">
        <v>672</v>
      </c>
      <c r="Z125" s="1">
        <v>44203</v>
      </c>
      <c r="AA125">
        <v>1</v>
      </c>
    </row>
    <row r="126" spans="1:27">
      <c r="A126" t="s">
        <v>424</v>
      </c>
      <c r="B126">
        <v>126</v>
      </c>
      <c r="C126" t="s">
        <v>2148</v>
      </c>
      <c r="D126" t="str">
        <f>VLOOKUP('[1]tblclients (1)'!A126,[1]Feuil1!$A$1:$G$203,4,0)</f>
        <v>CABINET CFA</v>
      </c>
      <c r="E126" t="s">
        <v>672</v>
      </c>
      <c r="F126" t="s">
        <v>672</v>
      </c>
      <c r="G126" t="s">
        <v>1162</v>
      </c>
      <c r="H126" t="s">
        <v>1163</v>
      </c>
      <c r="I126" t="s">
        <v>672</v>
      </c>
      <c r="J126" t="s">
        <v>704</v>
      </c>
      <c r="K126" t="s">
        <v>712</v>
      </c>
      <c r="L126" t="s">
        <v>672</v>
      </c>
      <c r="M126" t="s">
        <v>672</v>
      </c>
      <c r="N126" t="s">
        <v>672</v>
      </c>
      <c r="O126" t="s">
        <v>705</v>
      </c>
      <c r="P126" t="s">
        <v>672</v>
      </c>
      <c r="Q126" t="s">
        <v>672</v>
      </c>
      <c r="R126" t="s">
        <v>672</v>
      </c>
      <c r="S126">
        <v>708423838</v>
      </c>
      <c r="T126">
        <v>54</v>
      </c>
      <c r="U126" t="s">
        <v>673</v>
      </c>
      <c r="V126" t="s">
        <v>672</v>
      </c>
      <c r="W126" t="s">
        <v>672</v>
      </c>
      <c r="X126" t="s">
        <v>1161</v>
      </c>
      <c r="Y126" t="s">
        <v>672</v>
      </c>
      <c r="Z126" s="1">
        <v>44589</v>
      </c>
      <c r="AA126">
        <v>1</v>
      </c>
    </row>
    <row r="127" spans="1:27">
      <c r="A127" t="s">
        <v>388</v>
      </c>
      <c r="B127">
        <v>127</v>
      </c>
      <c r="C127" t="s">
        <v>389</v>
      </c>
      <c r="D127" t="str">
        <f>VLOOKUP('[1]tblclients (1)'!A127,[1]Feuil1!$A$1:$G$203,4,0)</f>
        <v>CABINET CFA</v>
      </c>
      <c r="E127" t="s">
        <v>672</v>
      </c>
      <c r="F127" t="s">
        <v>672</v>
      </c>
      <c r="G127" t="s">
        <v>1165</v>
      </c>
      <c r="H127" t="s">
        <v>1166</v>
      </c>
      <c r="I127" t="s">
        <v>672</v>
      </c>
      <c r="J127" t="s">
        <v>704</v>
      </c>
      <c r="K127" t="s">
        <v>712</v>
      </c>
      <c r="L127" t="s">
        <v>672</v>
      </c>
      <c r="M127" t="s">
        <v>672</v>
      </c>
      <c r="N127" t="s">
        <v>672</v>
      </c>
      <c r="O127" t="s">
        <v>705</v>
      </c>
      <c r="P127" t="s">
        <v>672</v>
      </c>
      <c r="Q127" t="s">
        <v>672</v>
      </c>
      <c r="R127" t="s">
        <v>672</v>
      </c>
      <c r="S127">
        <v>709410290</v>
      </c>
      <c r="T127">
        <v>54</v>
      </c>
      <c r="U127" t="s">
        <v>673</v>
      </c>
      <c r="V127" t="s">
        <v>672</v>
      </c>
      <c r="W127" t="s">
        <v>672</v>
      </c>
      <c r="X127" t="s">
        <v>1164</v>
      </c>
      <c r="Y127" t="s">
        <v>672</v>
      </c>
      <c r="Z127" s="1">
        <v>44589</v>
      </c>
      <c r="AA127">
        <v>1</v>
      </c>
    </row>
    <row r="128" spans="1:27">
      <c r="A128" t="s">
        <v>308</v>
      </c>
      <c r="B128">
        <v>128</v>
      </c>
      <c r="C128" t="s">
        <v>309</v>
      </c>
      <c r="D128" t="str">
        <f>VLOOKUP('[1]tblclients (1)'!A128,[1]Feuil1!$A$1:$G$203,4,0)</f>
        <v>CABINET CFA</v>
      </c>
      <c r="E128" t="s">
        <v>672</v>
      </c>
      <c r="F128" t="s">
        <v>672</v>
      </c>
      <c r="G128" t="s">
        <v>1168</v>
      </c>
      <c r="H128" t="s">
        <v>1169</v>
      </c>
      <c r="I128" t="s">
        <v>672</v>
      </c>
      <c r="J128" t="s">
        <v>704</v>
      </c>
      <c r="K128" t="s">
        <v>677</v>
      </c>
      <c r="L128" t="s">
        <v>672</v>
      </c>
      <c r="M128" t="s">
        <v>672</v>
      </c>
      <c r="N128" t="s">
        <v>672</v>
      </c>
      <c r="O128" t="s">
        <v>798</v>
      </c>
      <c r="P128" t="s">
        <v>672</v>
      </c>
      <c r="Q128" t="s">
        <v>672</v>
      </c>
      <c r="R128" t="s">
        <v>672</v>
      </c>
      <c r="S128">
        <v>78375845</v>
      </c>
      <c r="T128">
        <v>54</v>
      </c>
      <c r="U128" t="s">
        <v>673</v>
      </c>
      <c r="V128" t="s">
        <v>672</v>
      </c>
      <c r="W128" t="s">
        <v>672</v>
      </c>
      <c r="X128" t="s">
        <v>1167</v>
      </c>
      <c r="Y128" t="s">
        <v>672</v>
      </c>
      <c r="Z128" s="1">
        <v>44224</v>
      </c>
      <c r="AA128">
        <v>1</v>
      </c>
    </row>
    <row r="129" spans="1:27">
      <c r="A129" t="s">
        <v>306</v>
      </c>
      <c r="B129">
        <v>129</v>
      </c>
      <c r="C129" t="s">
        <v>307</v>
      </c>
      <c r="D129" t="str">
        <f>VLOOKUP('[1]tblclients (1)'!A129,[1]Feuil1!$A$1:$G$203,4,0)</f>
        <v>KODJO KOFFI</v>
      </c>
      <c r="E129" t="s">
        <v>672</v>
      </c>
      <c r="F129" t="s">
        <v>672</v>
      </c>
      <c r="G129" t="s">
        <v>1170</v>
      </c>
      <c r="H129" t="s">
        <v>1171</v>
      </c>
      <c r="I129" t="s">
        <v>672</v>
      </c>
      <c r="J129" t="s">
        <v>704</v>
      </c>
      <c r="K129" t="s">
        <v>677</v>
      </c>
      <c r="L129" t="s">
        <v>672</v>
      </c>
      <c r="M129" t="s">
        <v>672</v>
      </c>
      <c r="N129" t="s">
        <v>672</v>
      </c>
      <c r="O129" t="s">
        <v>705</v>
      </c>
      <c r="P129" t="s">
        <v>672</v>
      </c>
      <c r="Q129" t="s">
        <v>672</v>
      </c>
      <c r="R129" t="s">
        <v>672</v>
      </c>
      <c r="S129">
        <v>707417993</v>
      </c>
      <c r="T129">
        <v>54</v>
      </c>
      <c r="U129" t="s">
        <v>673</v>
      </c>
      <c r="V129" t="s">
        <v>672</v>
      </c>
      <c r="W129" t="s">
        <v>672</v>
      </c>
      <c r="X129" t="s">
        <v>1123</v>
      </c>
      <c r="Y129" t="s">
        <v>672</v>
      </c>
      <c r="Z129" s="1">
        <v>44592</v>
      </c>
      <c r="AA129">
        <v>1</v>
      </c>
    </row>
    <row r="130" spans="1:27">
      <c r="A130" t="s">
        <v>292</v>
      </c>
      <c r="B130">
        <v>130</v>
      </c>
      <c r="C130" t="s">
        <v>1172</v>
      </c>
      <c r="D130" t="str">
        <f>VLOOKUP('[1]tblclients (1)'!A130,[1]Feuil1!$A$1:$G$203,4,0)</f>
        <v>CABINET CFA</v>
      </c>
      <c r="E130" t="s">
        <v>672</v>
      </c>
      <c r="F130" t="s">
        <v>672</v>
      </c>
      <c r="G130" t="s">
        <v>1174</v>
      </c>
      <c r="H130" t="s">
        <v>1175</v>
      </c>
      <c r="I130" t="s">
        <v>672</v>
      </c>
      <c r="J130" t="s">
        <v>676</v>
      </c>
      <c r="K130" t="s">
        <v>677</v>
      </c>
      <c r="L130" t="s">
        <v>672</v>
      </c>
      <c r="M130" t="s">
        <v>672</v>
      </c>
      <c r="N130" t="s">
        <v>672</v>
      </c>
      <c r="O130" t="s">
        <v>705</v>
      </c>
      <c r="P130" t="s">
        <v>672</v>
      </c>
      <c r="Q130" t="s">
        <v>672</v>
      </c>
      <c r="R130" t="s">
        <v>672</v>
      </c>
      <c r="S130">
        <v>747242373</v>
      </c>
      <c r="T130">
        <v>54</v>
      </c>
      <c r="U130" t="s">
        <v>673</v>
      </c>
      <c r="V130" t="s">
        <v>672</v>
      </c>
      <c r="W130" t="s">
        <v>672</v>
      </c>
      <c r="X130" t="s">
        <v>1173</v>
      </c>
      <c r="Y130" t="s">
        <v>672</v>
      </c>
      <c r="Z130" s="1">
        <v>44217</v>
      </c>
      <c r="AA130">
        <v>1</v>
      </c>
    </row>
    <row r="131" spans="1:27">
      <c r="A131" t="s">
        <v>281</v>
      </c>
      <c r="B131">
        <v>131</v>
      </c>
      <c r="C131" t="s">
        <v>282</v>
      </c>
      <c r="D131" t="str">
        <f>VLOOKUP('[1]tblclients (1)'!A131,[1]Feuil1!$A$1:$G$203,4,0)</f>
        <v>CABINET CFA</v>
      </c>
      <c r="E131" t="s">
        <v>672</v>
      </c>
      <c r="F131" t="s">
        <v>672</v>
      </c>
      <c r="G131" t="s">
        <v>1177</v>
      </c>
      <c r="H131" t="s">
        <v>1178</v>
      </c>
      <c r="I131" t="s">
        <v>672</v>
      </c>
      <c r="J131" t="s">
        <v>676</v>
      </c>
      <c r="K131" t="s">
        <v>677</v>
      </c>
      <c r="L131" t="s">
        <v>672</v>
      </c>
      <c r="M131" t="s">
        <v>672</v>
      </c>
      <c r="N131" t="s">
        <v>672</v>
      </c>
      <c r="O131" t="s">
        <v>705</v>
      </c>
      <c r="P131" t="s">
        <v>672</v>
      </c>
      <c r="Q131" t="s">
        <v>672</v>
      </c>
      <c r="R131" t="s">
        <v>672</v>
      </c>
      <c r="S131">
        <v>707871577</v>
      </c>
      <c r="T131">
        <v>54</v>
      </c>
      <c r="U131" t="s">
        <v>673</v>
      </c>
      <c r="V131" t="s">
        <v>672</v>
      </c>
      <c r="W131" t="s">
        <v>672</v>
      </c>
      <c r="X131" t="s">
        <v>1176</v>
      </c>
      <c r="Y131" t="s">
        <v>672</v>
      </c>
      <c r="Z131" s="1">
        <v>43859</v>
      </c>
      <c r="AA131">
        <v>1</v>
      </c>
    </row>
    <row r="132" spans="1:27">
      <c r="A132" t="s">
        <v>273</v>
      </c>
      <c r="B132">
        <v>132</v>
      </c>
      <c r="C132" t="s">
        <v>1179</v>
      </c>
      <c r="D132" t="str">
        <f>VLOOKUP('[1]tblclients (1)'!A132,[1]Feuil1!$A$1:$G$203,4,0)</f>
        <v>CABINET CFA</v>
      </c>
      <c r="E132" t="s">
        <v>672</v>
      </c>
      <c r="F132" t="s">
        <v>672</v>
      </c>
      <c r="G132" t="s">
        <v>1181</v>
      </c>
      <c r="H132" t="s">
        <v>1182</v>
      </c>
      <c r="I132" t="s">
        <v>672</v>
      </c>
      <c r="J132" t="s">
        <v>676</v>
      </c>
      <c r="K132" t="s">
        <v>677</v>
      </c>
      <c r="L132" t="s">
        <v>672</v>
      </c>
      <c r="M132" t="s">
        <v>672</v>
      </c>
      <c r="N132" t="s">
        <v>672</v>
      </c>
      <c r="O132" t="s">
        <v>750</v>
      </c>
      <c r="P132" t="s">
        <v>672</v>
      </c>
      <c r="Q132" t="s">
        <v>672</v>
      </c>
      <c r="R132" t="s">
        <v>672</v>
      </c>
      <c r="S132">
        <v>55738106</v>
      </c>
      <c r="T132">
        <v>54</v>
      </c>
      <c r="U132" t="s">
        <v>673</v>
      </c>
      <c r="V132" t="s">
        <v>672</v>
      </c>
      <c r="W132" t="s">
        <v>672</v>
      </c>
      <c r="X132" t="s">
        <v>1180</v>
      </c>
      <c r="Y132" t="s">
        <v>672</v>
      </c>
      <c r="Z132" s="1">
        <v>44218</v>
      </c>
      <c r="AA132">
        <v>1</v>
      </c>
    </row>
    <row r="133" spans="1:27">
      <c r="A133" t="s">
        <v>1185</v>
      </c>
      <c r="B133">
        <v>133</v>
      </c>
      <c r="C133" t="s">
        <v>1183</v>
      </c>
      <c r="D133" t="str">
        <f>VLOOKUP('[1]tblclients (1)'!A133,[1]Feuil1!$A$1:$G$203,4,0)</f>
        <v>CABINET CFA</v>
      </c>
      <c r="E133" t="s">
        <v>672</v>
      </c>
      <c r="F133" t="s">
        <v>672</v>
      </c>
      <c r="G133" t="s">
        <v>1186</v>
      </c>
      <c r="H133" t="s">
        <v>1187</v>
      </c>
      <c r="I133" t="s">
        <v>672</v>
      </c>
      <c r="J133" t="s">
        <v>676</v>
      </c>
      <c r="K133" t="s">
        <v>677</v>
      </c>
      <c r="L133" t="s">
        <v>672</v>
      </c>
      <c r="M133" t="s">
        <v>672</v>
      </c>
      <c r="N133" t="s">
        <v>672</v>
      </c>
      <c r="O133" t="s">
        <v>705</v>
      </c>
      <c r="P133" t="s">
        <v>672</v>
      </c>
      <c r="Q133" t="s">
        <v>672</v>
      </c>
      <c r="R133" t="s">
        <v>672</v>
      </c>
      <c r="S133">
        <v>505337876</v>
      </c>
      <c r="T133">
        <v>54</v>
      </c>
      <c r="U133" t="s">
        <v>673</v>
      </c>
      <c r="V133" t="s">
        <v>672</v>
      </c>
      <c r="W133" t="s">
        <v>672</v>
      </c>
      <c r="X133" t="s">
        <v>1184</v>
      </c>
      <c r="Y133" t="s">
        <v>672</v>
      </c>
      <c r="Z133" s="1">
        <v>43871</v>
      </c>
      <c r="AA133">
        <v>1</v>
      </c>
    </row>
    <row r="134" spans="1:27">
      <c r="A134" t="s">
        <v>255</v>
      </c>
      <c r="B134">
        <v>134</v>
      </c>
      <c r="C134" t="s">
        <v>1188</v>
      </c>
      <c r="D134" t="str">
        <f>VLOOKUP('[1]tblclients (1)'!A134,[1]Feuil1!$A$1:$G$203,4,0)</f>
        <v>CABINET CFA</v>
      </c>
      <c r="E134" t="s">
        <v>672</v>
      </c>
      <c r="F134" t="s">
        <v>672</v>
      </c>
      <c r="G134" t="s">
        <v>1190</v>
      </c>
      <c r="H134" t="s">
        <v>1191</v>
      </c>
      <c r="I134" t="s">
        <v>672</v>
      </c>
      <c r="J134" t="s">
        <v>676</v>
      </c>
      <c r="K134" t="s">
        <v>677</v>
      </c>
      <c r="L134" t="s">
        <v>672</v>
      </c>
      <c r="M134" t="s">
        <v>672</v>
      </c>
      <c r="N134" t="s">
        <v>672</v>
      </c>
      <c r="O134" t="s">
        <v>705</v>
      </c>
      <c r="P134" t="s">
        <v>672</v>
      </c>
      <c r="Q134" t="s">
        <v>672</v>
      </c>
      <c r="R134" t="s">
        <v>672</v>
      </c>
      <c r="S134">
        <v>708452406</v>
      </c>
      <c r="T134">
        <v>54</v>
      </c>
      <c r="U134" t="s">
        <v>673</v>
      </c>
      <c r="V134" t="s">
        <v>672</v>
      </c>
      <c r="W134" t="s">
        <v>672</v>
      </c>
      <c r="X134" t="s">
        <v>1189</v>
      </c>
      <c r="Y134" t="s">
        <v>672</v>
      </c>
      <c r="Z134" s="1">
        <v>43871</v>
      </c>
      <c r="AA134">
        <v>1</v>
      </c>
    </row>
    <row r="135" spans="1:27">
      <c r="A135" t="s">
        <v>253</v>
      </c>
      <c r="B135">
        <v>135</v>
      </c>
      <c r="C135" t="s">
        <v>254</v>
      </c>
      <c r="D135" t="str">
        <f>VLOOKUP('[1]tblclients (1)'!A135,[1]Feuil1!$A$1:$G$203,4,0)</f>
        <v>CABINET CFA</v>
      </c>
      <c r="E135" t="s">
        <v>672</v>
      </c>
      <c r="F135" t="s">
        <v>672</v>
      </c>
      <c r="G135" t="s">
        <v>1193</v>
      </c>
      <c r="H135" t="s">
        <v>1194</v>
      </c>
      <c r="I135" t="s">
        <v>672</v>
      </c>
      <c r="J135" t="s">
        <v>676</v>
      </c>
      <c r="K135" t="s">
        <v>677</v>
      </c>
      <c r="L135" t="s">
        <v>672</v>
      </c>
      <c r="M135" t="s">
        <v>672</v>
      </c>
      <c r="N135" t="s">
        <v>672</v>
      </c>
      <c r="O135" t="s">
        <v>687</v>
      </c>
      <c r="P135" t="s">
        <v>672</v>
      </c>
      <c r="Q135" t="s">
        <v>672</v>
      </c>
      <c r="R135" t="s">
        <v>672</v>
      </c>
      <c r="S135">
        <v>22500438</v>
      </c>
      <c r="T135">
        <v>54</v>
      </c>
      <c r="U135" t="s">
        <v>673</v>
      </c>
      <c r="V135" t="s">
        <v>672</v>
      </c>
      <c r="W135" t="s">
        <v>672</v>
      </c>
      <c r="X135" t="s">
        <v>2149</v>
      </c>
      <c r="Y135" t="s">
        <v>672</v>
      </c>
      <c r="Z135" s="1">
        <v>44206</v>
      </c>
      <c r="AA135">
        <v>1</v>
      </c>
    </row>
    <row r="136" spans="1:27">
      <c r="A136" t="s">
        <v>245</v>
      </c>
      <c r="B136">
        <v>136</v>
      </c>
      <c r="C136" t="s">
        <v>1195</v>
      </c>
      <c r="D136" t="str">
        <f>VLOOKUP('[1]tblclients (1)'!A136,[1]Feuil1!$A$1:$G$203,4,0)</f>
        <v>CABINET CFA</v>
      </c>
      <c r="E136" t="s">
        <v>672</v>
      </c>
      <c r="F136" t="s">
        <v>672</v>
      </c>
      <c r="G136" t="s">
        <v>1197</v>
      </c>
      <c r="H136" t="s">
        <v>1198</v>
      </c>
      <c r="I136" t="s">
        <v>672</v>
      </c>
      <c r="J136" t="s">
        <v>676</v>
      </c>
      <c r="K136" t="s">
        <v>677</v>
      </c>
      <c r="L136" t="s">
        <v>672</v>
      </c>
      <c r="M136" t="s">
        <v>672</v>
      </c>
      <c r="N136" t="s">
        <v>672</v>
      </c>
      <c r="O136" t="s">
        <v>705</v>
      </c>
      <c r="P136" t="s">
        <v>672</v>
      </c>
      <c r="Q136" t="s">
        <v>672</v>
      </c>
      <c r="R136" t="s">
        <v>672</v>
      </c>
      <c r="S136">
        <v>708633706</v>
      </c>
      <c r="T136">
        <v>54</v>
      </c>
      <c r="U136" t="s">
        <v>673</v>
      </c>
      <c r="V136" t="s">
        <v>672</v>
      </c>
      <c r="W136" t="s">
        <v>672</v>
      </c>
      <c r="X136" t="s">
        <v>1196</v>
      </c>
      <c r="Y136" t="s">
        <v>672</v>
      </c>
      <c r="Z136" s="1">
        <v>44245</v>
      </c>
      <c r="AA136">
        <v>1</v>
      </c>
    </row>
    <row r="137" spans="1:27">
      <c r="A137" t="s">
        <v>241</v>
      </c>
      <c r="B137">
        <v>137</v>
      </c>
      <c r="C137" t="s">
        <v>1199</v>
      </c>
      <c r="D137" t="str">
        <f>VLOOKUP('[1]tblclients (1)'!A137,[1]Feuil1!$A$1:$G$203,4,0)</f>
        <v>CABINET CFA</v>
      </c>
      <c r="E137" t="s">
        <v>672</v>
      </c>
      <c r="F137" t="s">
        <v>672</v>
      </c>
      <c r="G137" t="s">
        <v>1201</v>
      </c>
      <c r="H137" t="s">
        <v>1202</v>
      </c>
      <c r="I137" t="s">
        <v>672</v>
      </c>
      <c r="J137" t="s">
        <v>676</v>
      </c>
      <c r="K137" t="s">
        <v>677</v>
      </c>
      <c r="L137" t="s">
        <v>672</v>
      </c>
      <c r="M137" t="s">
        <v>672</v>
      </c>
      <c r="N137" t="s">
        <v>672</v>
      </c>
      <c r="O137" t="s">
        <v>705</v>
      </c>
      <c r="P137" t="s">
        <v>672</v>
      </c>
      <c r="Q137" t="s">
        <v>672</v>
      </c>
      <c r="R137" t="s">
        <v>672</v>
      </c>
      <c r="S137">
        <v>707760027</v>
      </c>
      <c r="T137">
        <v>54</v>
      </c>
      <c r="U137" t="s">
        <v>673</v>
      </c>
      <c r="V137" t="s">
        <v>672</v>
      </c>
      <c r="W137" t="s">
        <v>672</v>
      </c>
      <c r="X137" t="s">
        <v>1200</v>
      </c>
      <c r="Y137" t="s">
        <v>672</v>
      </c>
      <c r="Z137" s="1">
        <v>44216</v>
      </c>
      <c r="AA137">
        <v>1</v>
      </c>
    </row>
    <row r="138" spans="1:27">
      <c r="A138" t="s">
        <v>239</v>
      </c>
      <c r="B138">
        <v>138</v>
      </c>
      <c r="C138" t="s">
        <v>240</v>
      </c>
      <c r="D138" t="str">
        <f>VLOOKUP('[1]tblclients (1)'!A138,[1]Feuil1!$A$1:$G$203,4,0)</f>
        <v>CABINET CFA</v>
      </c>
      <c r="E138" t="s">
        <v>672</v>
      </c>
      <c r="F138" t="s">
        <v>672</v>
      </c>
      <c r="G138" t="s">
        <v>1203</v>
      </c>
      <c r="H138" t="s">
        <v>1204</v>
      </c>
      <c r="I138" t="s">
        <v>672</v>
      </c>
      <c r="J138" t="s">
        <v>676</v>
      </c>
      <c r="K138" t="s">
        <v>677</v>
      </c>
      <c r="L138" t="s">
        <v>672</v>
      </c>
      <c r="M138" t="s">
        <v>672</v>
      </c>
      <c r="N138" t="s">
        <v>672</v>
      </c>
      <c r="O138" t="s">
        <v>705</v>
      </c>
      <c r="P138" t="s">
        <v>672</v>
      </c>
      <c r="Q138" t="s">
        <v>672</v>
      </c>
      <c r="R138" t="s">
        <v>672</v>
      </c>
      <c r="T138">
        <v>54</v>
      </c>
      <c r="U138" t="s">
        <v>673</v>
      </c>
      <c r="V138" t="s">
        <v>672</v>
      </c>
      <c r="W138" t="s">
        <v>672</v>
      </c>
      <c r="X138" t="s">
        <v>846</v>
      </c>
      <c r="Y138" t="s">
        <v>672</v>
      </c>
      <c r="Z138" s="1">
        <v>44216</v>
      </c>
      <c r="AA138">
        <v>1</v>
      </c>
    </row>
    <row r="139" spans="1:27">
      <c r="A139" t="s">
        <v>219</v>
      </c>
      <c r="B139">
        <v>139</v>
      </c>
      <c r="C139" t="s">
        <v>1205</v>
      </c>
      <c r="D139" t="str">
        <f>VLOOKUP('[1]tblclients (1)'!A139,[1]Feuil1!$A$1:$G$203,4,0)</f>
        <v>CABINET CFA</v>
      </c>
      <c r="E139" t="s">
        <v>672</v>
      </c>
      <c r="F139" t="s">
        <v>672</v>
      </c>
      <c r="G139" t="s">
        <v>1206</v>
      </c>
      <c r="H139" t="s">
        <v>1207</v>
      </c>
      <c r="I139" t="s">
        <v>672</v>
      </c>
      <c r="J139" t="s">
        <v>704</v>
      </c>
      <c r="K139" t="s">
        <v>677</v>
      </c>
      <c r="L139" t="s">
        <v>672</v>
      </c>
      <c r="M139" t="s">
        <v>672</v>
      </c>
      <c r="N139" t="s">
        <v>672</v>
      </c>
      <c r="O139" t="s">
        <v>742</v>
      </c>
      <c r="P139" t="s">
        <v>672</v>
      </c>
      <c r="Q139" t="s">
        <v>672</v>
      </c>
      <c r="R139" t="s">
        <v>672</v>
      </c>
      <c r="S139">
        <v>748879515</v>
      </c>
      <c r="T139">
        <v>54</v>
      </c>
      <c r="U139" t="s">
        <v>673</v>
      </c>
      <c r="V139" t="s">
        <v>672</v>
      </c>
      <c r="W139" t="s">
        <v>672</v>
      </c>
      <c r="X139" t="s">
        <v>846</v>
      </c>
      <c r="Y139" t="s">
        <v>672</v>
      </c>
      <c r="Z139" s="1">
        <v>44224</v>
      </c>
      <c r="AA139">
        <v>1</v>
      </c>
    </row>
    <row r="140" spans="1:27">
      <c r="A140" t="s">
        <v>203</v>
      </c>
      <c r="B140">
        <v>140</v>
      </c>
      <c r="C140" t="s">
        <v>1208</v>
      </c>
      <c r="D140" t="str">
        <f>VLOOKUP('[1]tblclients (1)'!A140,[1]Feuil1!$A$1:$G$203,4,0)</f>
        <v>CABINET CFA</v>
      </c>
      <c r="E140" t="s">
        <v>672</v>
      </c>
      <c r="F140" t="s">
        <v>672</v>
      </c>
      <c r="G140" t="s">
        <v>1209</v>
      </c>
      <c r="H140" t="s">
        <v>1210</v>
      </c>
      <c r="I140" t="s">
        <v>672</v>
      </c>
      <c r="J140" t="s">
        <v>704</v>
      </c>
      <c r="K140" t="s">
        <v>677</v>
      </c>
      <c r="L140" t="s">
        <v>672</v>
      </c>
      <c r="M140" t="s">
        <v>672</v>
      </c>
      <c r="N140" t="s">
        <v>672</v>
      </c>
      <c r="O140" t="s">
        <v>687</v>
      </c>
      <c r="P140" t="s">
        <v>672</v>
      </c>
      <c r="Q140" t="s">
        <v>672</v>
      </c>
      <c r="R140" t="s">
        <v>672</v>
      </c>
      <c r="S140">
        <v>708115018</v>
      </c>
      <c r="T140">
        <v>54</v>
      </c>
      <c r="U140" t="s">
        <v>673</v>
      </c>
      <c r="V140" t="s">
        <v>672</v>
      </c>
      <c r="W140" t="s">
        <v>672</v>
      </c>
      <c r="X140" t="s">
        <v>855</v>
      </c>
      <c r="Y140" t="s">
        <v>672</v>
      </c>
      <c r="Z140" s="1">
        <v>44224</v>
      </c>
      <c r="AA140">
        <v>1</v>
      </c>
    </row>
    <row r="141" spans="1:27">
      <c r="A141" t="s">
        <v>187</v>
      </c>
      <c r="B141">
        <v>141</v>
      </c>
      <c r="C141" t="s">
        <v>1211</v>
      </c>
      <c r="D141" t="str">
        <f>VLOOKUP('[1]tblclients (1)'!A141,[1]Feuil1!$A$1:$G$203,4,0)</f>
        <v>CABINET CFA</v>
      </c>
      <c r="E141" t="s">
        <v>672</v>
      </c>
      <c r="F141" t="s">
        <v>672</v>
      </c>
      <c r="G141" t="s">
        <v>1213</v>
      </c>
      <c r="H141" t="s">
        <v>1214</v>
      </c>
      <c r="I141" t="s">
        <v>672</v>
      </c>
      <c r="J141" t="s">
        <v>676</v>
      </c>
      <c r="K141" t="s">
        <v>677</v>
      </c>
      <c r="L141" t="s">
        <v>672</v>
      </c>
      <c r="M141" t="s">
        <v>672</v>
      </c>
      <c r="N141" t="s">
        <v>672</v>
      </c>
      <c r="O141" t="s">
        <v>678</v>
      </c>
      <c r="P141" t="s">
        <v>672</v>
      </c>
      <c r="Q141" t="s">
        <v>672</v>
      </c>
      <c r="R141" t="s">
        <v>672</v>
      </c>
      <c r="T141">
        <v>54</v>
      </c>
      <c r="U141" t="s">
        <v>673</v>
      </c>
      <c r="V141" t="s">
        <v>672</v>
      </c>
      <c r="W141" t="s">
        <v>672</v>
      </c>
      <c r="X141" t="s">
        <v>1212</v>
      </c>
      <c r="Y141" t="s">
        <v>672</v>
      </c>
      <c r="Z141" s="1">
        <v>44222</v>
      </c>
      <c r="AA141">
        <v>1</v>
      </c>
    </row>
    <row r="142" spans="1:27">
      <c r="A142" t="s">
        <v>156</v>
      </c>
      <c r="B142">
        <v>142</v>
      </c>
      <c r="C142" t="s">
        <v>1215</v>
      </c>
      <c r="D142" t="str">
        <f>VLOOKUP('[1]tblclients (1)'!A142,[1]Feuil1!$A$1:$G$203,4,0)</f>
        <v>CABINET CFA</v>
      </c>
      <c r="E142" t="s">
        <v>2150</v>
      </c>
      <c r="F142" t="s">
        <v>2127</v>
      </c>
      <c r="G142" t="s">
        <v>1219</v>
      </c>
      <c r="H142" t="s">
        <v>1220</v>
      </c>
      <c r="I142" t="s">
        <v>1218</v>
      </c>
      <c r="J142" t="s">
        <v>704</v>
      </c>
      <c r="K142" t="s">
        <v>677</v>
      </c>
      <c r="L142" t="s">
        <v>1221</v>
      </c>
      <c r="M142" t="s">
        <v>681</v>
      </c>
      <c r="N142" t="s">
        <v>681</v>
      </c>
      <c r="O142" t="s">
        <v>1222</v>
      </c>
      <c r="P142" t="s">
        <v>681</v>
      </c>
      <c r="Q142" s="2">
        <v>1000000</v>
      </c>
      <c r="S142">
        <v>708759006</v>
      </c>
      <c r="T142">
        <v>54</v>
      </c>
      <c r="U142" t="s">
        <v>673</v>
      </c>
      <c r="V142" t="s">
        <v>1217</v>
      </c>
      <c r="X142" t="s">
        <v>1216</v>
      </c>
      <c r="Z142" s="1">
        <v>44265</v>
      </c>
      <c r="AA142">
        <v>1</v>
      </c>
    </row>
    <row r="143" spans="1:27">
      <c r="A143" t="s">
        <v>152</v>
      </c>
      <c r="B143">
        <v>143</v>
      </c>
      <c r="C143" t="s">
        <v>153</v>
      </c>
      <c r="D143" t="str">
        <f>VLOOKUP('[1]tblclients (1)'!A143,[1]Feuil1!$A$1:$G$203,4,0)</f>
        <v>CABINET CFA</v>
      </c>
      <c r="E143" t="s">
        <v>672</v>
      </c>
      <c r="F143" t="s">
        <v>672</v>
      </c>
      <c r="G143" t="s">
        <v>1223</v>
      </c>
      <c r="H143" t="s">
        <v>1224</v>
      </c>
      <c r="I143" t="s">
        <v>672</v>
      </c>
      <c r="J143" t="s">
        <v>704</v>
      </c>
      <c r="K143" t="s">
        <v>1135</v>
      </c>
      <c r="L143" t="s">
        <v>672</v>
      </c>
      <c r="M143" t="s">
        <v>672</v>
      </c>
      <c r="N143" t="s">
        <v>672</v>
      </c>
      <c r="O143" t="s">
        <v>798</v>
      </c>
      <c r="P143" t="s">
        <v>672</v>
      </c>
      <c r="Q143" t="s">
        <v>672</v>
      </c>
      <c r="R143" t="s">
        <v>672</v>
      </c>
      <c r="S143">
        <v>789843555</v>
      </c>
      <c r="T143">
        <v>54</v>
      </c>
      <c r="U143" t="s">
        <v>673</v>
      </c>
      <c r="V143" t="s">
        <v>672</v>
      </c>
      <c r="W143" t="s">
        <v>672</v>
      </c>
      <c r="X143" t="s">
        <v>843</v>
      </c>
      <c r="Y143" t="s">
        <v>672</v>
      </c>
      <c r="Z143" s="1">
        <v>44592</v>
      </c>
      <c r="AA143">
        <v>1</v>
      </c>
    </row>
    <row r="144" spans="1:27">
      <c r="A144" t="s">
        <v>132</v>
      </c>
      <c r="B144">
        <v>144</v>
      </c>
      <c r="C144" t="s">
        <v>133</v>
      </c>
      <c r="D144" t="str">
        <f>VLOOKUP('[1]tblclients (1)'!A144,[1]Feuil1!$A$1:$G$203,4,0)</f>
        <v>CABINET CFA</v>
      </c>
      <c r="E144" t="s">
        <v>672</v>
      </c>
      <c r="F144" t="s">
        <v>672</v>
      </c>
      <c r="G144" t="s">
        <v>1226</v>
      </c>
      <c r="H144" t="s">
        <v>1227</v>
      </c>
      <c r="I144" t="s">
        <v>672</v>
      </c>
      <c r="J144" t="s">
        <v>704</v>
      </c>
      <c r="K144" t="s">
        <v>677</v>
      </c>
      <c r="L144" t="s">
        <v>672</v>
      </c>
      <c r="M144" t="s">
        <v>672</v>
      </c>
      <c r="N144" t="s">
        <v>672</v>
      </c>
      <c r="O144" t="s">
        <v>692</v>
      </c>
      <c r="P144" t="s">
        <v>672</v>
      </c>
      <c r="Q144" t="s">
        <v>672</v>
      </c>
      <c r="R144" t="s">
        <v>672</v>
      </c>
      <c r="S144">
        <v>707181804</v>
      </c>
      <c r="T144">
        <v>54</v>
      </c>
      <c r="U144" t="s">
        <v>673</v>
      </c>
      <c r="V144" t="s">
        <v>672</v>
      </c>
      <c r="W144" t="s">
        <v>672</v>
      </c>
      <c r="X144" t="s">
        <v>1225</v>
      </c>
      <c r="Y144" t="s">
        <v>672</v>
      </c>
      <c r="Z144" s="1">
        <v>44224</v>
      </c>
      <c r="AA144">
        <v>1</v>
      </c>
    </row>
    <row r="145" spans="1:27">
      <c r="A145" t="s">
        <v>116</v>
      </c>
      <c r="B145">
        <v>145</v>
      </c>
      <c r="C145" t="s">
        <v>117</v>
      </c>
      <c r="D145" t="str">
        <f>VLOOKUP('[1]tblclients (1)'!A145,[1]Feuil1!$A$1:$G$203,4,0)</f>
        <v>CABINET CFA</v>
      </c>
      <c r="E145" t="s">
        <v>672</v>
      </c>
      <c r="F145" t="s">
        <v>672</v>
      </c>
      <c r="G145" t="s">
        <v>1228</v>
      </c>
      <c r="H145" t="s">
        <v>1229</v>
      </c>
      <c r="I145" t="s">
        <v>672</v>
      </c>
      <c r="J145" t="s">
        <v>704</v>
      </c>
      <c r="K145" t="s">
        <v>677</v>
      </c>
      <c r="L145" t="s">
        <v>672</v>
      </c>
      <c r="M145" t="s">
        <v>672</v>
      </c>
      <c r="N145" t="s">
        <v>672</v>
      </c>
      <c r="O145" t="s">
        <v>687</v>
      </c>
      <c r="P145" t="s">
        <v>672</v>
      </c>
      <c r="Q145" t="s">
        <v>672</v>
      </c>
      <c r="R145" t="s">
        <v>672</v>
      </c>
      <c r="S145">
        <v>506898900</v>
      </c>
      <c r="T145">
        <v>54</v>
      </c>
      <c r="U145" t="s">
        <v>673</v>
      </c>
      <c r="V145" t="s">
        <v>672</v>
      </c>
      <c r="W145" t="s">
        <v>672</v>
      </c>
      <c r="X145" t="s">
        <v>770</v>
      </c>
      <c r="Y145" t="s">
        <v>672</v>
      </c>
      <c r="Z145" s="1">
        <v>44224</v>
      </c>
      <c r="AA145">
        <v>1</v>
      </c>
    </row>
    <row r="146" spans="1:27">
      <c r="A146" t="s">
        <v>78</v>
      </c>
      <c r="B146">
        <v>146</v>
      </c>
      <c r="C146" t="s">
        <v>1230</v>
      </c>
      <c r="D146" t="str">
        <f>VLOOKUP('[1]tblclients (1)'!A146,[1]Feuil1!$A$1:$G$203,4,0)</f>
        <v>CABINET CFA</v>
      </c>
      <c r="E146" t="s">
        <v>672</v>
      </c>
      <c r="F146" t="s">
        <v>672</v>
      </c>
      <c r="G146" t="s">
        <v>1231</v>
      </c>
      <c r="H146" t="s">
        <v>1232</v>
      </c>
      <c r="I146" t="s">
        <v>672</v>
      </c>
      <c r="J146" t="s">
        <v>704</v>
      </c>
      <c r="K146" t="s">
        <v>677</v>
      </c>
      <c r="L146" t="s">
        <v>672</v>
      </c>
      <c r="M146" t="s">
        <v>672</v>
      </c>
      <c r="N146" t="s">
        <v>672</v>
      </c>
      <c r="O146" t="s">
        <v>705</v>
      </c>
      <c r="P146" t="s">
        <v>672</v>
      </c>
      <c r="Q146" t="s">
        <v>672</v>
      </c>
      <c r="R146" t="s">
        <v>672</v>
      </c>
      <c r="S146">
        <v>747755863</v>
      </c>
      <c r="T146">
        <v>54</v>
      </c>
      <c r="U146" t="s">
        <v>673</v>
      </c>
      <c r="V146" t="s">
        <v>672</v>
      </c>
      <c r="W146" t="s">
        <v>672</v>
      </c>
      <c r="X146" t="s">
        <v>2151</v>
      </c>
      <c r="Y146" t="s">
        <v>672</v>
      </c>
      <c r="Z146" s="1">
        <v>44224</v>
      </c>
      <c r="AA146">
        <v>1</v>
      </c>
    </row>
    <row r="147" spans="1:27">
      <c r="A147" t="s">
        <v>1234</v>
      </c>
      <c r="B147">
        <v>147</v>
      </c>
      <c r="C147" t="s">
        <v>1233</v>
      </c>
      <c r="D147" t="str">
        <f>VLOOKUP('[1]tblclients (1)'!A147,[1]Feuil1!$A$1:$G$203,4,0)</f>
        <v>CABINET CFA</v>
      </c>
      <c r="E147" t="s">
        <v>672</v>
      </c>
      <c r="F147" t="s">
        <v>672</v>
      </c>
      <c r="G147" t="s">
        <v>1235</v>
      </c>
      <c r="H147" t="s">
        <v>1214</v>
      </c>
      <c r="I147" t="s">
        <v>672</v>
      </c>
      <c r="J147" t="s">
        <v>704</v>
      </c>
      <c r="K147" t="s">
        <v>677</v>
      </c>
      <c r="L147" t="s">
        <v>672</v>
      </c>
      <c r="M147" t="s">
        <v>672</v>
      </c>
      <c r="N147" t="s">
        <v>672</v>
      </c>
      <c r="O147" t="s">
        <v>678</v>
      </c>
      <c r="P147" t="s">
        <v>672</v>
      </c>
      <c r="Q147" t="s">
        <v>672</v>
      </c>
      <c r="R147" t="s">
        <v>672</v>
      </c>
      <c r="T147">
        <v>54</v>
      </c>
      <c r="U147" t="s">
        <v>673</v>
      </c>
      <c r="V147" t="s">
        <v>672</v>
      </c>
      <c r="W147" t="s">
        <v>672</v>
      </c>
      <c r="Y147" t="s">
        <v>672</v>
      </c>
      <c r="Z147" s="1">
        <v>44222</v>
      </c>
      <c r="AA147">
        <v>1</v>
      </c>
    </row>
    <row r="148" spans="1:27">
      <c r="A148" t="s">
        <v>74</v>
      </c>
      <c r="B148">
        <v>148</v>
      </c>
      <c r="C148" t="s">
        <v>75</v>
      </c>
      <c r="D148" t="str">
        <f>VLOOKUP('[1]tblclients (1)'!A148,[1]Feuil1!$A$1:$G$203,4,0)</f>
        <v>CABINET CFA</v>
      </c>
      <c r="E148" t="s">
        <v>672</v>
      </c>
      <c r="F148" t="s">
        <v>672</v>
      </c>
      <c r="G148" t="s">
        <v>1237</v>
      </c>
      <c r="H148" t="s">
        <v>1238</v>
      </c>
      <c r="I148" t="s">
        <v>672</v>
      </c>
      <c r="J148" t="s">
        <v>676</v>
      </c>
      <c r="K148" t="s">
        <v>677</v>
      </c>
      <c r="L148" t="s">
        <v>672</v>
      </c>
      <c r="M148" t="s">
        <v>672</v>
      </c>
      <c r="N148" t="s">
        <v>672</v>
      </c>
      <c r="O148" t="s">
        <v>705</v>
      </c>
      <c r="P148" t="s">
        <v>672</v>
      </c>
      <c r="Q148" t="s">
        <v>672</v>
      </c>
      <c r="R148" t="s">
        <v>672</v>
      </c>
      <c r="S148">
        <v>707347436</v>
      </c>
      <c r="T148">
        <v>54</v>
      </c>
      <c r="U148" t="s">
        <v>673</v>
      </c>
      <c r="V148" t="s">
        <v>672</v>
      </c>
      <c r="W148" t="s">
        <v>672</v>
      </c>
      <c r="X148" t="s">
        <v>1236</v>
      </c>
      <c r="Y148" t="s">
        <v>672</v>
      </c>
      <c r="Z148" s="1">
        <v>43871</v>
      </c>
      <c r="AA148">
        <v>1</v>
      </c>
    </row>
    <row r="149" spans="1:27">
      <c r="A149" t="s">
        <v>68</v>
      </c>
      <c r="B149">
        <v>149</v>
      </c>
      <c r="C149" t="s">
        <v>69</v>
      </c>
      <c r="D149" t="str">
        <f>VLOOKUP('[1]tblclients (1)'!A149,[1]Feuil1!$A$1:$G$203,4,0)</f>
        <v>CABINET CFA</v>
      </c>
      <c r="E149" t="s">
        <v>672</v>
      </c>
      <c r="F149" t="s">
        <v>672</v>
      </c>
      <c r="G149" t="s">
        <v>1240</v>
      </c>
      <c r="H149" t="s">
        <v>1241</v>
      </c>
      <c r="I149" t="s">
        <v>672</v>
      </c>
      <c r="J149" t="s">
        <v>704</v>
      </c>
      <c r="K149" t="s">
        <v>677</v>
      </c>
      <c r="L149" t="s">
        <v>672</v>
      </c>
      <c r="M149" t="s">
        <v>672</v>
      </c>
      <c r="N149" t="s">
        <v>672</v>
      </c>
      <c r="O149" t="s">
        <v>798</v>
      </c>
      <c r="P149" t="s">
        <v>672</v>
      </c>
      <c r="Q149" t="s">
        <v>672</v>
      </c>
      <c r="R149" t="s">
        <v>672</v>
      </c>
      <c r="S149">
        <v>767552335</v>
      </c>
      <c r="T149">
        <v>54</v>
      </c>
      <c r="U149" t="s">
        <v>673</v>
      </c>
      <c r="V149" t="s">
        <v>672</v>
      </c>
      <c r="W149" t="s">
        <v>672</v>
      </c>
      <c r="X149" t="s">
        <v>1239</v>
      </c>
      <c r="Y149" t="s">
        <v>672</v>
      </c>
      <c r="Z149" s="1">
        <v>44224</v>
      </c>
      <c r="AA149">
        <v>1</v>
      </c>
    </row>
    <row r="150" spans="1:27">
      <c r="A150" t="s">
        <v>52</v>
      </c>
      <c r="B150">
        <v>150</v>
      </c>
      <c r="C150" t="s">
        <v>1242</v>
      </c>
      <c r="D150" t="str">
        <f>VLOOKUP('[1]tblclients (1)'!A150,[1]Feuil1!$A$1:$G$203,4,0)</f>
        <v>CABINET CFA</v>
      </c>
      <c r="E150" t="s">
        <v>672</v>
      </c>
      <c r="F150" t="s">
        <v>672</v>
      </c>
      <c r="G150" t="s">
        <v>1244</v>
      </c>
      <c r="H150" t="s">
        <v>1245</v>
      </c>
      <c r="I150" t="s">
        <v>672</v>
      </c>
      <c r="J150" t="s">
        <v>676</v>
      </c>
      <c r="K150" t="s">
        <v>677</v>
      </c>
      <c r="L150" t="s">
        <v>672</v>
      </c>
      <c r="M150" t="s">
        <v>672</v>
      </c>
      <c r="N150" t="s">
        <v>672</v>
      </c>
      <c r="O150" t="s">
        <v>687</v>
      </c>
      <c r="P150" t="s">
        <v>672</v>
      </c>
      <c r="Q150" t="s">
        <v>672</v>
      </c>
      <c r="R150" t="s">
        <v>672</v>
      </c>
      <c r="S150">
        <v>2722426745</v>
      </c>
      <c r="T150">
        <v>54</v>
      </c>
      <c r="U150" t="s">
        <v>673</v>
      </c>
      <c r="V150" t="s">
        <v>672</v>
      </c>
      <c r="W150" t="s">
        <v>672</v>
      </c>
      <c r="X150" t="s">
        <v>1243</v>
      </c>
      <c r="Y150" t="s">
        <v>672</v>
      </c>
      <c r="Z150" s="1">
        <v>44589</v>
      </c>
      <c r="AA150">
        <v>1</v>
      </c>
    </row>
    <row r="151" spans="1:27">
      <c r="A151" t="s">
        <v>44</v>
      </c>
      <c r="B151">
        <v>151</v>
      </c>
      <c r="C151" t="s">
        <v>45</v>
      </c>
      <c r="D151" t="str">
        <f>VLOOKUP('[1]tblclients (1)'!A151,[1]Feuil1!$A$1:$G$203,4,0)</f>
        <v>CABINET CFA</v>
      </c>
      <c r="E151" t="s">
        <v>672</v>
      </c>
      <c r="F151" t="s">
        <v>672</v>
      </c>
      <c r="G151" t="s">
        <v>1247</v>
      </c>
      <c r="H151" t="s">
        <v>1248</v>
      </c>
      <c r="I151" t="s">
        <v>672</v>
      </c>
      <c r="J151" t="s">
        <v>704</v>
      </c>
      <c r="K151" t="s">
        <v>677</v>
      </c>
      <c r="L151" t="s">
        <v>672</v>
      </c>
      <c r="M151" t="s">
        <v>672</v>
      </c>
      <c r="N151" t="s">
        <v>672</v>
      </c>
      <c r="O151" t="s">
        <v>742</v>
      </c>
      <c r="P151" t="s">
        <v>672</v>
      </c>
      <c r="Q151" t="s">
        <v>672</v>
      </c>
      <c r="R151" t="s">
        <v>672</v>
      </c>
      <c r="S151">
        <v>757417993</v>
      </c>
      <c r="T151">
        <v>54</v>
      </c>
      <c r="U151" t="s">
        <v>673</v>
      </c>
      <c r="V151" t="s">
        <v>672</v>
      </c>
      <c r="W151" t="s">
        <v>672</v>
      </c>
      <c r="X151" t="s">
        <v>1246</v>
      </c>
      <c r="Y151" t="s">
        <v>672</v>
      </c>
      <c r="Z151" s="1">
        <v>44774</v>
      </c>
      <c r="AA151">
        <v>1</v>
      </c>
    </row>
    <row r="152" spans="1:27">
      <c r="A152" t="s">
        <v>40</v>
      </c>
      <c r="B152">
        <v>152</v>
      </c>
      <c r="C152" t="s">
        <v>1249</v>
      </c>
      <c r="D152" t="str">
        <f>VLOOKUP('[1]tblclients (1)'!A152,[1]Feuil1!$A$1:$G$203,4,0)</f>
        <v>CABINET CFA</v>
      </c>
      <c r="E152" t="s">
        <v>672</v>
      </c>
      <c r="F152" t="s">
        <v>672</v>
      </c>
      <c r="G152" t="s">
        <v>1251</v>
      </c>
      <c r="H152" t="s">
        <v>990</v>
      </c>
      <c r="I152" t="s">
        <v>672</v>
      </c>
      <c r="J152" t="s">
        <v>704</v>
      </c>
      <c r="K152" t="s">
        <v>677</v>
      </c>
      <c r="L152" t="s">
        <v>672</v>
      </c>
      <c r="M152" t="s">
        <v>672</v>
      </c>
      <c r="N152" t="s">
        <v>672</v>
      </c>
      <c r="O152" t="s">
        <v>705</v>
      </c>
      <c r="P152" t="s">
        <v>672</v>
      </c>
      <c r="Q152" t="s">
        <v>672</v>
      </c>
      <c r="R152" t="s">
        <v>672</v>
      </c>
      <c r="S152">
        <v>505423838</v>
      </c>
      <c r="T152">
        <v>54</v>
      </c>
      <c r="U152" t="s">
        <v>673</v>
      </c>
      <c r="V152" t="s">
        <v>672</v>
      </c>
      <c r="W152" t="s">
        <v>672</v>
      </c>
      <c r="X152" t="s">
        <v>1250</v>
      </c>
      <c r="Y152" t="s">
        <v>672</v>
      </c>
      <c r="Z152" s="1">
        <v>44592</v>
      </c>
      <c r="AA152">
        <v>1</v>
      </c>
    </row>
    <row r="153" spans="1:27">
      <c r="A153" t="s">
        <v>22</v>
      </c>
      <c r="B153">
        <v>153</v>
      </c>
      <c r="C153" t="s">
        <v>1252</v>
      </c>
      <c r="D153" t="str">
        <f>VLOOKUP('[1]tblclients (1)'!A153,[1]Feuil1!$A$1:$G$203,4,0)</f>
        <v>CABINET CFA</v>
      </c>
      <c r="E153" t="s">
        <v>672</v>
      </c>
      <c r="F153" t="s">
        <v>672</v>
      </c>
      <c r="G153" t="s">
        <v>1253</v>
      </c>
      <c r="H153" t="s">
        <v>1254</v>
      </c>
      <c r="I153" t="s">
        <v>672</v>
      </c>
      <c r="J153" t="s">
        <v>676</v>
      </c>
      <c r="K153" t="s">
        <v>677</v>
      </c>
      <c r="L153" t="s">
        <v>672</v>
      </c>
      <c r="M153" t="s">
        <v>672</v>
      </c>
      <c r="N153" t="s">
        <v>672</v>
      </c>
      <c r="O153" t="s">
        <v>705</v>
      </c>
      <c r="P153" t="s">
        <v>672</v>
      </c>
      <c r="Q153" t="s">
        <v>672</v>
      </c>
      <c r="R153" t="s">
        <v>672</v>
      </c>
      <c r="T153">
        <v>54</v>
      </c>
      <c r="U153" t="s">
        <v>673</v>
      </c>
      <c r="V153" t="s">
        <v>672</v>
      </c>
      <c r="W153" t="s">
        <v>672</v>
      </c>
      <c r="Y153" t="s">
        <v>672</v>
      </c>
      <c r="Z153" s="1">
        <v>44224</v>
      </c>
      <c r="AA153">
        <v>1</v>
      </c>
    </row>
    <row r="154" spans="1:27">
      <c r="A154" t="s">
        <v>12</v>
      </c>
      <c r="B154">
        <v>154</v>
      </c>
      <c r="C154" t="s">
        <v>13</v>
      </c>
      <c r="D154" t="str">
        <f>VLOOKUP('[1]tblclients (1)'!A154,[1]Feuil1!$A$1:$G$203,4,0)</f>
        <v>CABINET CFA</v>
      </c>
      <c r="E154" t="s">
        <v>672</v>
      </c>
      <c r="F154" t="s">
        <v>672</v>
      </c>
      <c r="G154" t="s">
        <v>1256</v>
      </c>
      <c r="H154" t="s">
        <v>1257</v>
      </c>
      <c r="I154" t="s">
        <v>672</v>
      </c>
      <c r="J154" t="s">
        <v>676</v>
      </c>
      <c r="K154" t="s">
        <v>677</v>
      </c>
      <c r="L154" t="s">
        <v>672</v>
      </c>
      <c r="M154" t="s">
        <v>672</v>
      </c>
      <c r="N154" t="s">
        <v>672</v>
      </c>
      <c r="O154" t="s">
        <v>705</v>
      </c>
      <c r="P154" t="s">
        <v>672</v>
      </c>
      <c r="Q154" t="s">
        <v>672</v>
      </c>
      <c r="R154" t="s">
        <v>672</v>
      </c>
      <c r="S154">
        <v>757740578</v>
      </c>
      <c r="T154">
        <v>54</v>
      </c>
      <c r="U154" t="s">
        <v>673</v>
      </c>
      <c r="V154" t="s">
        <v>672</v>
      </c>
      <c r="W154" t="s">
        <v>672</v>
      </c>
      <c r="X154" t="s">
        <v>1255</v>
      </c>
      <c r="Y154" t="s">
        <v>672</v>
      </c>
      <c r="Z154" s="1">
        <v>44224</v>
      </c>
      <c r="AA154">
        <v>1</v>
      </c>
    </row>
    <row r="155" spans="1:27">
      <c r="A155" t="s">
        <v>285</v>
      </c>
      <c r="B155">
        <v>155</v>
      </c>
      <c r="C155" t="s">
        <v>286</v>
      </c>
      <c r="D155" t="str">
        <f>VLOOKUP('[1]tblclients (1)'!A155,[1]Feuil1!$A$1:$G$203,4,0)</f>
        <v>CABINET CFA</v>
      </c>
      <c r="E155" t="s">
        <v>672</v>
      </c>
      <c r="F155" t="s">
        <v>672</v>
      </c>
      <c r="G155" t="s">
        <v>1259</v>
      </c>
      <c r="H155" t="s">
        <v>1260</v>
      </c>
      <c r="I155" t="s">
        <v>672</v>
      </c>
      <c r="J155" t="s">
        <v>676</v>
      </c>
      <c r="K155" t="s">
        <v>677</v>
      </c>
      <c r="L155" t="s">
        <v>672</v>
      </c>
      <c r="M155" t="s">
        <v>672</v>
      </c>
      <c r="N155" t="s">
        <v>672</v>
      </c>
      <c r="O155" t="s">
        <v>692</v>
      </c>
      <c r="P155" t="s">
        <v>672</v>
      </c>
      <c r="Q155" t="s">
        <v>672</v>
      </c>
      <c r="R155" t="s">
        <v>672</v>
      </c>
      <c r="S155">
        <v>22443592</v>
      </c>
      <c r="T155">
        <v>54</v>
      </c>
      <c r="U155" t="s">
        <v>673</v>
      </c>
      <c r="V155" t="s">
        <v>672</v>
      </c>
      <c r="W155" t="s">
        <v>672</v>
      </c>
      <c r="X155" t="s">
        <v>1258</v>
      </c>
      <c r="Y155" t="s">
        <v>672</v>
      </c>
      <c r="Z155" s="1">
        <v>44224</v>
      </c>
      <c r="AA155">
        <v>1</v>
      </c>
    </row>
    <row r="156" spans="1:27">
      <c r="A156" t="s">
        <v>598</v>
      </c>
      <c r="B156">
        <v>156</v>
      </c>
      <c r="C156" t="s">
        <v>1261</v>
      </c>
      <c r="D156" t="str">
        <f>VLOOKUP('[1]tblclients (1)'!A156,[1]Feuil1!$A$1:$G$203,4,0)</f>
        <v>ZADI</v>
      </c>
      <c r="E156" t="s">
        <v>672</v>
      </c>
      <c r="F156" t="s">
        <v>672</v>
      </c>
      <c r="G156" t="s">
        <v>1263</v>
      </c>
      <c r="H156" t="s">
        <v>1264</v>
      </c>
      <c r="I156" t="s">
        <v>672</v>
      </c>
      <c r="J156" t="s">
        <v>704</v>
      </c>
      <c r="K156" t="s">
        <v>677</v>
      </c>
      <c r="L156" t="s">
        <v>672</v>
      </c>
      <c r="M156" t="s">
        <v>672</v>
      </c>
      <c r="N156" t="s">
        <v>672</v>
      </c>
      <c r="O156" t="s">
        <v>942</v>
      </c>
      <c r="P156" t="s">
        <v>672</v>
      </c>
      <c r="Q156" t="s">
        <v>672</v>
      </c>
      <c r="R156" t="s">
        <v>672</v>
      </c>
      <c r="S156">
        <v>707182026</v>
      </c>
      <c r="T156">
        <v>54</v>
      </c>
      <c r="U156" t="s">
        <v>673</v>
      </c>
      <c r="V156" t="s">
        <v>672</v>
      </c>
      <c r="W156" t="s">
        <v>672</v>
      </c>
      <c r="X156" t="s">
        <v>1262</v>
      </c>
      <c r="Y156" t="s">
        <v>672</v>
      </c>
      <c r="Z156" s="1">
        <v>43854</v>
      </c>
      <c r="AA156">
        <v>1</v>
      </c>
    </row>
    <row r="157" spans="1:27">
      <c r="A157" t="s">
        <v>618</v>
      </c>
      <c r="B157">
        <v>157</v>
      </c>
      <c r="C157" t="s">
        <v>619</v>
      </c>
      <c r="D157" t="str">
        <f>VLOOKUP('[1]tblclients (1)'!A157,[1]Feuil1!$A$1:$G$203,4,0)</f>
        <v>ZADI</v>
      </c>
      <c r="E157" t="s">
        <v>672</v>
      </c>
      <c r="F157" t="s">
        <v>672</v>
      </c>
      <c r="G157" t="s">
        <v>1265</v>
      </c>
      <c r="H157" t="s">
        <v>1266</v>
      </c>
      <c r="I157" t="s">
        <v>672</v>
      </c>
      <c r="J157" t="s">
        <v>676</v>
      </c>
      <c r="K157" t="s">
        <v>677</v>
      </c>
      <c r="L157" t="s">
        <v>672</v>
      </c>
      <c r="M157" t="s">
        <v>672</v>
      </c>
      <c r="N157" t="s">
        <v>672</v>
      </c>
      <c r="O157" t="s">
        <v>942</v>
      </c>
      <c r="P157" t="s">
        <v>672</v>
      </c>
      <c r="Q157" t="s">
        <v>672</v>
      </c>
      <c r="R157" t="s">
        <v>672</v>
      </c>
      <c r="S157">
        <v>757931758</v>
      </c>
      <c r="T157">
        <v>54</v>
      </c>
      <c r="U157" t="s">
        <v>673</v>
      </c>
      <c r="V157" t="s">
        <v>672</v>
      </c>
      <c r="W157" t="s">
        <v>672</v>
      </c>
      <c r="X157" t="s">
        <v>1111</v>
      </c>
      <c r="Y157" t="s">
        <v>672</v>
      </c>
      <c r="Z157" s="1">
        <v>44224</v>
      </c>
      <c r="AA157">
        <v>1</v>
      </c>
    </row>
    <row r="158" spans="1:27">
      <c r="A158" t="s">
        <v>614</v>
      </c>
      <c r="B158">
        <v>158</v>
      </c>
      <c r="C158" t="s">
        <v>2152</v>
      </c>
      <c r="D158" t="str">
        <f>VLOOKUP('[1]tblclients (1)'!A158,[1]Feuil1!$A$1:$G$203,4,0)</f>
        <v>ZADI</v>
      </c>
      <c r="E158" t="s">
        <v>672</v>
      </c>
      <c r="F158" t="s">
        <v>672</v>
      </c>
      <c r="G158" t="s">
        <v>1268</v>
      </c>
      <c r="H158" t="s">
        <v>1269</v>
      </c>
      <c r="I158" t="s">
        <v>672</v>
      </c>
      <c r="J158" t="s">
        <v>676</v>
      </c>
      <c r="K158" t="s">
        <v>677</v>
      </c>
      <c r="L158" t="s">
        <v>672</v>
      </c>
      <c r="M158" t="s">
        <v>672</v>
      </c>
      <c r="N158" t="s">
        <v>672</v>
      </c>
      <c r="O158" t="s">
        <v>678</v>
      </c>
      <c r="P158" t="s">
        <v>672</v>
      </c>
      <c r="Q158" t="s">
        <v>672</v>
      </c>
      <c r="R158" t="s">
        <v>672</v>
      </c>
      <c r="S158">
        <v>708459696</v>
      </c>
      <c r="T158">
        <v>54</v>
      </c>
      <c r="U158" t="s">
        <v>673</v>
      </c>
      <c r="V158" t="s">
        <v>672</v>
      </c>
      <c r="W158" t="s">
        <v>672</v>
      </c>
      <c r="X158" t="s">
        <v>1267</v>
      </c>
      <c r="Y158" t="s">
        <v>672</v>
      </c>
      <c r="Z158" s="1">
        <v>44592</v>
      </c>
      <c r="AA158">
        <v>1</v>
      </c>
    </row>
    <row r="159" spans="1:27">
      <c r="A159" t="s">
        <v>562</v>
      </c>
      <c r="B159">
        <v>159</v>
      </c>
      <c r="C159" t="s">
        <v>563</v>
      </c>
      <c r="D159" t="str">
        <f>VLOOKUP('[1]tblclients (1)'!A159,[1]Feuil1!$A$1:$G$203,4,0)</f>
        <v>ZADI</v>
      </c>
      <c r="E159" t="s">
        <v>672</v>
      </c>
      <c r="F159" t="s">
        <v>672</v>
      </c>
      <c r="G159" t="s">
        <v>1271</v>
      </c>
      <c r="H159" t="s">
        <v>1272</v>
      </c>
      <c r="I159" t="s">
        <v>672</v>
      </c>
      <c r="J159" t="s">
        <v>704</v>
      </c>
      <c r="K159" t="s">
        <v>677</v>
      </c>
      <c r="L159" t="s">
        <v>672</v>
      </c>
      <c r="M159" t="s">
        <v>672</v>
      </c>
      <c r="N159" t="s">
        <v>672</v>
      </c>
      <c r="O159" t="s">
        <v>678</v>
      </c>
      <c r="P159" t="s">
        <v>672</v>
      </c>
      <c r="Q159" t="s">
        <v>672</v>
      </c>
      <c r="R159" t="s">
        <v>672</v>
      </c>
      <c r="S159">
        <v>709092954</v>
      </c>
      <c r="T159">
        <v>54</v>
      </c>
      <c r="U159" t="s">
        <v>673</v>
      </c>
      <c r="V159" t="s">
        <v>672</v>
      </c>
      <c r="W159" t="s">
        <v>672</v>
      </c>
      <c r="X159" t="s">
        <v>1270</v>
      </c>
      <c r="Y159" t="s">
        <v>672</v>
      </c>
      <c r="Z159" s="1">
        <v>44592</v>
      </c>
      <c r="AA159">
        <v>1</v>
      </c>
    </row>
    <row r="160" spans="1:27">
      <c r="A160" t="s">
        <v>564</v>
      </c>
      <c r="B160">
        <v>160</v>
      </c>
      <c r="C160" t="s">
        <v>1273</v>
      </c>
      <c r="D160" t="str">
        <f>VLOOKUP('[1]tblclients (1)'!A160,[1]Feuil1!$A$1:$G$203,4,0)</f>
        <v>ZADI</v>
      </c>
      <c r="E160" t="s">
        <v>672</v>
      </c>
      <c r="F160" t="s">
        <v>672</v>
      </c>
      <c r="G160" t="s">
        <v>1274</v>
      </c>
      <c r="H160" t="s">
        <v>1275</v>
      </c>
      <c r="I160" t="s">
        <v>672</v>
      </c>
      <c r="J160" t="s">
        <v>704</v>
      </c>
      <c r="K160" t="s">
        <v>677</v>
      </c>
      <c r="L160" t="s">
        <v>672</v>
      </c>
      <c r="M160" t="s">
        <v>672</v>
      </c>
      <c r="N160" t="s">
        <v>672</v>
      </c>
      <c r="O160" t="s">
        <v>678</v>
      </c>
      <c r="P160" t="s">
        <v>672</v>
      </c>
      <c r="Q160" t="s">
        <v>672</v>
      </c>
      <c r="R160" t="s">
        <v>672</v>
      </c>
      <c r="S160">
        <v>709892954</v>
      </c>
      <c r="T160">
        <v>54</v>
      </c>
      <c r="U160" t="s">
        <v>673</v>
      </c>
      <c r="V160" t="s">
        <v>672</v>
      </c>
      <c r="W160" t="s">
        <v>672</v>
      </c>
      <c r="X160" t="s">
        <v>828</v>
      </c>
      <c r="Y160" t="s">
        <v>672</v>
      </c>
      <c r="Z160" s="1">
        <v>44592</v>
      </c>
      <c r="AA160">
        <v>1</v>
      </c>
    </row>
    <row r="161" spans="1:27">
      <c r="A161" t="s">
        <v>1277</v>
      </c>
      <c r="B161">
        <v>161</v>
      </c>
      <c r="C161" t="s">
        <v>1276</v>
      </c>
      <c r="D161" t="str">
        <f>VLOOKUP('[1]tblclients (1)'!A161,[1]Feuil1!$A$1:$G$203,4,0)</f>
        <v>ZADI</v>
      </c>
      <c r="E161" t="s">
        <v>672</v>
      </c>
      <c r="F161" t="s">
        <v>672</v>
      </c>
      <c r="G161" t="s">
        <v>1278</v>
      </c>
      <c r="H161" t="s">
        <v>1279</v>
      </c>
      <c r="I161" t="s">
        <v>672</v>
      </c>
      <c r="J161" t="s">
        <v>676</v>
      </c>
      <c r="K161" t="s">
        <v>677</v>
      </c>
      <c r="L161" t="s">
        <v>672</v>
      </c>
      <c r="M161" t="s">
        <v>672</v>
      </c>
      <c r="N161" t="s">
        <v>672</v>
      </c>
      <c r="O161" t="s">
        <v>942</v>
      </c>
      <c r="P161" t="s">
        <v>672</v>
      </c>
      <c r="Q161" t="s">
        <v>672</v>
      </c>
      <c r="R161" t="s">
        <v>672</v>
      </c>
      <c r="S161">
        <v>757417993</v>
      </c>
      <c r="T161">
        <v>54</v>
      </c>
      <c r="U161" t="s">
        <v>673</v>
      </c>
      <c r="V161" t="s">
        <v>672</v>
      </c>
      <c r="W161" t="s">
        <v>672</v>
      </c>
      <c r="X161" t="s">
        <v>717</v>
      </c>
      <c r="Y161" t="s">
        <v>672</v>
      </c>
      <c r="Z161" s="1">
        <v>44957</v>
      </c>
      <c r="AA161">
        <v>1</v>
      </c>
    </row>
    <row r="162" spans="1:27">
      <c r="A162" t="s">
        <v>576</v>
      </c>
      <c r="B162">
        <v>162</v>
      </c>
      <c r="C162" t="s">
        <v>1280</v>
      </c>
      <c r="D162" t="str">
        <f>VLOOKUP('[1]tblclients (1)'!A162,[1]Feuil1!$A$1:$G$203,4,0)</f>
        <v>ZADI</v>
      </c>
      <c r="E162" t="s">
        <v>672</v>
      </c>
      <c r="F162" t="s">
        <v>672</v>
      </c>
      <c r="G162" t="s">
        <v>1282</v>
      </c>
      <c r="H162" t="s">
        <v>1283</v>
      </c>
      <c r="I162" t="s">
        <v>672</v>
      </c>
      <c r="J162" t="s">
        <v>704</v>
      </c>
      <c r="K162" t="s">
        <v>677</v>
      </c>
      <c r="L162" t="s">
        <v>672</v>
      </c>
      <c r="M162" t="s">
        <v>672</v>
      </c>
      <c r="N162" t="s">
        <v>672</v>
      </c>
      <c r="O162" t="s">
        <v>942</v>
      </c>
      <c r="P162" t="s">
        <v>672</v>
      </c>
      <c r="Q162" t="s">
        <v>672</v>
      </c>
      <c r="R162" t="s">
        <v>672</v>
      </c>
      <c r="S162">
        <v>708089498</v>
      </c>
      <c r="T162">
        <v>54</v>
      </c>
      <c r="U162" t="s">
        <v>673</v>
      </c>
      <c r="V162" t="s">
        <v>672</v>
      </c>
      <c r="W162" t="s">
        <v>672</v>
      </c>
      <c r="X162" t="s">
        <v>1281</v>
      </c>
      <c r="Y162" t="s">
        <v>672</v>
      </c>
      <c r="Z162" s="1">
        <v>44949</v>
      </c>
      <c r="AA162">
        <v>1</v>
      </c>
    </row>
    <row r="163" spans="1:27">
      <c r="A163" t="s">
        <v>1286</v>
      </c>
      <c r="B163">
        <v>163</v>
      </c>
      <c r="C163" t="s">
        <v>1284</v>
      </c>
      <c r="D163" t="str">
        <f>VLOOKUP('[1]tblclients (1)'!A163,[1]Feuil1!$A$1:$G$203,4,0)</f>
        <v>ZADI</v>
      </c>
      <c r="E163" t="s">
        <v>672</v>
      </c>
      <c r="F163" t="s">
        <v>672</v>
      </c>
      <c r="G163" t="s">
        <v>1287</v>
      </c>
      <c r="H163" t="s">
        <v>1288</v>
      </c>
      <c r="I163" t="s">
        <v>672</v>
      </c>
      <c r="J163" t="s">
        <v>676</v>
      </c>
      <c r="K163" t="s">
        <v>677</v>
      </c>
      <c r="L163" t="s">
        <v>672</v>
      </c>
      <c r="M163" t="s">
        <v>672</v>
      </c>
      <c r="N163" t="s">
        <v>672</v>
      </c>
      <c r="O163" t="s">
        <v>942</v>
      </c>
      <c r="P163" t="s">
        <v>672</v>
      </c>
      <c r="Q163" t="s">
        <v>672</v>
      </c>
      <c r="R163" t="s">
        <v>672</v>
      </c>
      <c r="T163">
        <v>54</v>
      </c>
      <c r="U163" t="s">
        <v>673</v>
      </c>
      <c r="V163" t="s">
        <v>672</v>
      </c>
      <c r="W163" t="s">
        <v>672</v>
      </c>
      <c r="X163" t="s">
        <v>1285</v>
      </c>
      <c r="Y163" t="s">
        <v>672</v>
      </c>
      <c r="Z163" s="1">
        <v>44974</v>
      </c>
      <c r="AA163">
        <v>1</v>
      </c>
    </row>
    <row r="164" spans="1:27">
      <c r="A164" t="s">
        <v>456</v>
      </c>
      <c r="B164">
        <v>164</v>
      </c>
      <c r="C164" t="s">
        <v>1289</v>
      </c>
      <c r="D164" t="str">
        <f>VLOOKUP('[1]tblclients (1)'!A164,[1]Feuil1!$A$1:$G$203,4,0)</f>
        <v>ZADI</v>
      </c>
      <c r="E164" t="s">
        <v>672</v>
      </c>
      <c r="F164" t="s">
        <v>672</v>
      </c>
      <c r="G164" t="s">
        <v>1291</v>
      </c>
      <c r="H164" t="s">
        <v>1292</v>
      </c>
      <c r="I164" t="s">
        <v>672</v>
      </c>
      <c r="J164" t="s">
        <v>704</v>
      </c>
      <c r="K164" t="s">
        <v>677</v>
      </c>
      <c r="L164" t="s">
        <v>672</v>
      </c>
      <c r="M164" t="s">
        <v>672</v>
      </c>
      <c r="N164" t="s">
        <v>672</v>
      </c>
      <c r="O164" t="s">
        <v>942</v>
      </c>
      <c r="P164" t="s">
        <v>672</v>
      </c>
      <c r="Q164" t="s">
        <v>672</v>
      </c>
      <c r="R164" t="s">
        <v>672</v>
      </c>
      <c r="S164">
        <v>788711112</v>
      </c>
      <c r="T164">
        <v>54</v>
      </c>
      <c r="U164" t="s">
        <v>673</v>
      </c>
      <c r="V164" t="s">
        <v>672</v>
      </c>
      <c r="W164" t="s">
        <v>672</v>
      </c>
      <c r="X164" t="s">
        <v>1290</v>
      </c>
      <c r="Y164" t="s">
        <v>672</v>
      </c>
      <c r="Z164" s="1">
        <v>44949</v>
      </c>
      <c r="AA164">
        <v>1</v>
      </c>
    </row>
    <row r="165" spans="1:27">
      <c r="A165" t="s">
        <v>310</v>
      </c>
      <c r="B165">
        <v>165</v>
      </c>
      <c r="C165" t="s">
        <v>311</v>
      </c>
      <c r="D165" t="str">
        <f>VLOOKUP('[1]tblclients (1)'!A165,[1]Feuil1!$A$1:$G$203,4,0)</f>
        <v>ZADI</v>
      </c>
      <c r="E165" t="s">
        <v>672</v>
      </c>
      <c r="F165" t="s">
        <v>672</v>
      </c>
      <c r="G165" t="s">
        <v>1293</v>
      </c>
      <c r="H165" t="s">
        <v>1294</v>
      </c>
      <c r="I165" t="s">
        <v>672</v>
      </c>
      <c r="J165" t="s">
        <v>676</v>
      </c>
      <c r="K165" t="s">
        <v>677</v>
      </c>
      <c r="L165" t="s">
        <v>672</v>
      </c>
      <c r="M165" t="s">
        <v>672</v>
      </c>
      <c r="N165" t="s">
        <v>672</v>
      </c>
      <c r="O165" t="s">
        <v>942</v>
      </c>
      <c r="P165" t="s">
        <v>672</v>
      </c>
      <c r="Q165" t="s">
        <v>672</v>
      </c>
      <c r="R165" t="s">
        <v>672</v>
      </c>
      <c r="T165">
        <v>54</v>
      </c>
      <c r="U165" t="s">
        <v>673</v>
      </c>
      <c r="V165" t="s">
        <v>672</v>
      </c>
      <c r="W165" t="s">
        <v>672</v>
      </c>
      <c r="X165" t="s">
        <v>959</v>
      </c>
      <c r="Y165" t="s">
        <v>672</v>
      </c>
      <c r="Z165" s="1">
        <v>43854</v>
      </c>
      <c r="AA165">
        <v>1</v>
      </c>
    </row>
    <row r="166" spans="1:27">
      <c r="A166" t="s">
        <v>1296</v>
      </c>
      <c r="B166">
        <v>166</v>
      </c>
      <c r="C166" t="s">
        <v>1295</v>
      </c>
      <c r="D166" t="str">
        <f>VLOOKUP('[1]tblclients (1)'!A166,[1]Feuil1!$A$1:$G$203,4,0)</f>
        <v>ZADI</v>
      </c>
      <c r="E166" t="s">
        <v>672</v>
      </c>
      <c r="F166" t="s">
        <v>672</v>
      </c>
      <c r="G166" t="s">
        <v>1297</v>
      </c>
      <c r="H166" t="s">
        <v>1051</v>
      </c>
      <c r="I166" t="s">
        <v>672</v>
      </c>
      <c r="J166" t="s">
        <v>704</v>
      </c>
      <c r="K166" t="s">
        <v>677</v>
      </c>
      <c r="L166" t="s">
        <v>672</v>
      </c>
      <c r="M166" t="s">
        <v>672</v>
      </c>
      <c r="N166" t="s">
        <v>672</v>
      </c>
      <c r="O166" t="s">
        <v>942</v>
      </c>
      <c r="P166" t="s">
        <v>672</v>
      </c>
      <c r="Q166" t="s">
        <v>672</v>
      </c>
      <c r="R166" t="s">
        <v>672</v>
      </c>
      <c r="T166">
        <v>54</v>
      </c>
      <c r="U166" t="s">
        <v>673</v>
      </c>
      <c r="V166" t="s">
        <v>672</v>
      </c>
      <c r="W166" t="s">
        <v>672</v>
      </c>
      <c r="Y166" t="s">
        <v>672</v>
      </c>
      <c r="Z166" s="1">
        <v>44949</v>
      </c>
      <c r="AA166">
        <v>1</v>
      </c>
    </row>
    <row r="167" spans="1:27">
      <c r="A167" t="s">
        <v>100</v>
      </c>
      <c r="B167">
        <v>167</v>
      </c>
      <c r="C167" t="s">
        <v>1298</v>
      </c>
      <c r="D167" t="str">
        <f>VLOOKUP('[1]tblclients (1)'!A167,[1]Feuil1!$A$1:$G$203,4,0)</f>
        <v>ZADI</v>
      </c>
      <c r="E167" t="s">
        <v>672</v>
      </c>
      <c r="F167" t="s">
        <v>672</v>
      </c>
      <c r="G167" t="s">
        <v>1299</v>
      </c>
      <c r="H167" t="s">
        <v>1300</v>
      </c>
      <c r="I167" t="s">
        <v>672</v>
      </c>
      <c r="J167" t="s">
        <v>676</v>
      </c>
      <c r="K167" t="s">
        <v>677</v>
      </c>
      <c r="L167" t="s">
        <v>672</v>
      </c>
      <c r="M167" t="s">
        <v>672</v>
      </c>
      <c r="N167" t="s">
        <v>672</v>
      </c>
      <c r="O167" t="s">
        <v>942</v>
      </c>
      <c r="P167" t="s">
        <v>672</v>
      </c>
      <c r="Q167" t="s">
        <v>672</v>
      </c>
      <c r="R167" t="s">
        <v>672</v>
      </c>
      <c r="S167">
        <v>1424820022</v>
      </c>
      <c r="T167">
        <v>54</v>
      </c>
      <c r="U167" t="s">
        <v>673</v>
      </c>
      <c r="V167" t="s">
        <v>672</v>
      </c>
      <c r="W167" t="s">
        <v>672</v>
      </c>
      <c r="X167" t="s">
        <v>872</v>
      </c>
      <c r="Y167" t="s">
        <v>672</v>
      </c>
      <c r="Z167" s="1">
        <v>44585</v>
      </c>
      <c r="AA167">
        <v>1</v>
      </c>
    </row>
    <row r="168" spans="1:27">
      <c r="A168" t="s">
        <v>1302</v>
      </c>
      <c r="B168">
        <v>168</v>
      </c>
      <c r="C168" t="s">
        <v>276</v>
      </c>
      <c r="D168" t="str">
        <f>VLOOKUP('[1]tblclients (1)'!A168,[1]Feuil1!$A$1:$G$203,4,0)</f>
        <v>ZADI</v>
      </c>
      <c r="E168" t="s">
        <v>672</v>
      </c>
      <c r="F168" t="s">
        <v>672</v>
      </c>
      <c r="G168" t="s">
        <v>1303</v>
      </c>
      <c r="H168" t="s">
        <v>1304</v>
      </c>
      <c r="I168" t="s">
        <v>672</v>
      </c>
      <c r="J168" t="s">
        <v>704</v>
      </c>
      <c r="K168" t="s">
        <v>677</v>
      </c>
      <c r="L168" t="s">
        <v>672</v>
      </c>
      <c r="M168" t="s">
        <v>672</v>
      </c>
      <c r="N168" t="s">
        <v>672</v>
      </c>
      <c r="O168" t="s">
        <v>942</v>
      </c>
      <c r="P168" t="s">
        <v>672</v>
      </c>
      <c r="Q168" t="s">
        <v>672</v>
      </c>
      <c r="R168" t="s">
        <v>672</v>
      </c>
      <c r="T168">
        <v>54</v>
      </c>
      <c r="U168" t="s">
        <v>673</v>
      </c>
      <c r="V168" t="s">
        <v>672</v>
      </c>
      <c r="W168" t="s">
        <v>672</v>
      </c>
      <c r="X168" t="s">
        <v>1301</v>
      </c>
      <c r="Y168" t="s">
        <v>672</v>
      </c>
      <c r="Z168" s="1">
        <v>44949</v>
      </c>
      <c r="AA168">
        <v>1</v>
      </c>
    </row>
    <row r="169" spans="1:27">
      <c r="A169" t="s">
        <v>207</v>
      </c>
      <c r="B169">
        <v>169</v>
      </c>
      <c r="C169" t="s">
        <v>208</v>
      </c>
      <c r="D169" t="str">
        <f>VLOOKUP('[1]tblclients (1)'!A169,[1]Feuil1!$A$1:$G$203,4,0)</f>
        <v>ZADI</v>
      </c>
      <c r="E169" t="s">
        <v>672</v>
      </c>
      <c r="F169" t="s">
        <v>672</v>
      </c>
      <c r="G169" t="s">
        <v>1306</v>
      </c>
      <c r="H169" t="s">
        <v>1307</v>
      </c>
      <c r="I169" t="s">
        <v>672</v>
      </c>
      <c r="J169" t="s">
        <v>676</v>
      </c>
      <c r="K169" t="s">
        <v>677</v>
      </c>
      <c r="L169" t="s">
        <v>672</v>
      </c>
      <c r="M169" t="s">
        <v>672</v>
      </c>
      <c r="N169" t="s">
        <v>672</v>
      </c>
      <c r="O169" t="s">
        <v>942</v>
      </c>
      <c r="P169" t="s">
        <v>672</v>
      </c>
      <c r="Q169" t="s">
        <v>672</v>
      </c>
      <c r="R169" t="s">
        <v>672</v>
      </c>
      <c r="S169">
        <v>708095645</v>
      </c>
      <c r="T169">
        <v>54</v>
      </c>
      <c r="U169" t="s">
        <v>673</v>
      </c>
      <c r="V169" t="s">
        <v>672</v>
      </c>
      <c r="W169" t="s">
        <v>672</v>
      </c>
      <c r="X169" t="s">
        <v>1305</v>
      </c>
      <c r="Y169" t="s">
        <v>672</v>
      </c>
      <c r="Z169" s="1">
        <v>43850</v>
      </c>
      <c r="AA169">
        <v>1</v>
      </c>
    </row>
    <row r="170" spans="1:27">
      <c r="A170" t="s">
        <v>124</v>
      </c>
      <c r="B170">
        <v>170</v>
      </c>
      <c r="C170" t="s">
        <v>125</v>
      </c>
      <c r="D170" t="str">
        <f>VLOOKUP('[1]tblclients (1)'!A170,[1]Feuil1!$A$1:$G$203,4,0)</f>
        <v>ZADI</v>
      </c>
      <c r="E170" t="s">
        <v>672</v>
      </c>
      <c r="F170" t="s">
        <v>672</v>
      </c>
      <c r="G170" t="s">
        <v>1309</v>
      </c>
      <c r="H170" t="s">
        <v>961</v>
      </c>
      <c r="I170" t="s">
        <v>672</v>
      </c>
      <c r="J170" t="s">
        <v>704</v>
      </c>
      <c r="K170" t="s">
        <v>677</v>
      </c>
      <c r="L170" t="s">
        <v>672</v>
      </c>
      <c r="M170" t="s">
        <v>672</v>
      </c>
      <c r="N170" t="s">
        <v>672</v>
      </c>
      <c r="O170" t="s">
        <v>942</v>
      </c>
      <c r="P170" t="s">
        <v>672</v>
      </c>
      <c r="Q170" t="s">
        <v>672</v>
      </c>
      <c r="R170" t="s">
        <v>672</v>
      </c>
      <c r="S170">
        <v>702469090</v>
      </c>
      <c r="T170">
        <v>54</v>
      </c>
      <c r="U170" t="s">
        <v>673</v>
      </c>
      <c r="V170" t="s">
        <v>672</v>
      </c>
      <c r="W170" t="s">
        <v>672</v>
      </c>
      <c r="X170" t="s">
        <v>1308</v>
      </c>
      <c r="Y170" t="s">
        <v>672</v>
      </c>
      <c r="Z170" s="1">
        <v>44949</v>
      </c>
      <c r="AA170">
        <v>1</v>
      </c>
    </row>
    <row r="171" spans="1:27">
      <c r="A171" t="s">
        <v>58</v>
      </c>
      <c r="B171">
        <v>171</v>
      </c>
      <c r="C171" t="s">
        <v>1310</v>
      </c>
      <c r="D171" t="str">
        <f>VLOOKUP('[1]tblclients (1)'!A171,[1]Feuil1!$A$1:$G$203,4,0)</f>
        <v>ZADI</v>
      </c>
      <c r="E171" t="s">
        <v>672</v>
      </c>
      <c r="F171" t="s">
        <v>672</v>
      </c>
      <c r="G171" t="s">
        <v>1311</v>
      </c>
      <c r="H171" t="s">
        <v>1264</v>
      </c>
      <c r="I171" t="s">
        <v>672</v>
      </c>
      <c r="J171" t="s">
        <v>676</v>
      </c>
      <c r="K171" t="s">
        <v>677</v>
      </c>
      <c r="L171" t="s">
        <v>672</v>
      </c>
      <c r="M171" t="s">
        <v>672</v>
      </c>
      <c r="N171" t="s">
        <v>672</v>
      </c>
      <c r="O171" t="s">
        <v>942</v>
      </c>
      <c r="P171" t="s">
        <v>672</v>
      </c>
      <c r="Q171" t="s">
        <v>672</v>
      </c>
      <c r="R171" t="s">
        <v>672</v>
      </c>
      <c r="S171">
        <v>506899413</v>
      </c>
      <c r="T171">
        <v>54</v>
      </c>
      <c r="U171" t="s">
        <v>673</v>
      </c>
      <c r="V171" t="s">
        <v>672</v>
      </c>
      <c r="W171" t="s">
        <v>672</v>
      </c>
      <c r="X171" t="s">
        <v>939</v>
      </c>
      <c r="Y171" t="s">
        <v>672</v>
      </c>
      <c r="Z171" s="1">
        <v>43854</v>
      </c>
      <c r="AA171">
        <v>1</v>
      </c>
    </row>
    <row r="172" spans="1:27">
      <c r="A172" t="s">
        <v>104</v>
      </c>
      <c r="B172">
        <v>172</v>
      </c>
      <c r="C172" t="s">
        <v>105</v>
      </c>
      <c r="D172" t="str">
        <f>VLOOKUP('[1]tblclients (1)'!A172,[1]Feuil1!$A$1:$G$203,4,0)</f>
        <v>ZADI</v>
      </c>
      <c r="E172" t="s">
        <v>672</v>
      </c>
      <c r="F172" t="s">
        <v>672</v>
      </c>
      <c r="G172" t="s">
        <v>1312</v>
      </c>
      <c r="H172" t="s">
        <v>1313</v>
      </c>
      <c r="I172" t="s">
        <v>672</v>
      </c>
      <c r="J172" t="s">
        <v>676</v>
      </c>
      <c r="K172" t="s">
        <v>677</v>
      </c>
      <c r="L172" t="s">
        <v>672</v>
      </c>
      <c r="M172" t="s">
        <v>672</v>
      </c>
      <c r="N172" t="s">
        <v>672</v>
      </c>
      <c r="O172" t="s">
        <v>942</v>
      </c>
      <c r="P172" t="s">
        <v>672</v>
      </c>
      <c r="Q172" t="s">
        <v>672</v>
      </c>
      <c r="R172" t="s">
        <v>672</v>
      </c>
      <c r="T172">
        <v>54</v>
      </c>
      <c r="U172" t="s">
        <v>673</v>
      </c>
      <c r="V172" t="s">
        <v>672</v>
      </c>
      <c r="W172" t="s">
        <v>672</v>
      </c>
      <c r="X172" t="s">
        <v>939</v>
      </c>
      <c r="Y172" t="s">
        <v>672</v>
      </c>
      <c r="Z172" s="1">
        <v>43854</v>
      </c>
      <c r="AA172">
        <v>1</v>
      </c>
    </row>
    <row r="173" spans="1:27">
      <c r="A173" t="s">
        <v>1316</v>
      </c>
      <c r="B173">
        <v>173</v>
      </c>
      <c r="C173" t="s">
        <v>1314</v>
      </c>
      <c r="D173" t="str">
        <f>VLOOKUP('[1]tblclients (1)'!A173,[1]Feuil1!$A$1:$G$203,4,0)</f>
        <v>ZADI</v>
      </c>
      <c r="E173" t="s">
        <v>672</v>
      </c>
      <c r="F173" t="s">
        <v>672</v>
      </c>
      <c r="G173" t="s">
        <v>1317</v>
      </c>
      <c r="H173" t="s">
        <v>1318</v>
      </c>
      <c r="I173" t="s">
        <v>672</v>
      </c>
      <c r="J173" t="s">
        <v>676</v>
      </c>
      <c r="K173" t="s">
        <v>677</v>
      </c>
      <c r="L173" t="s">
        <v>672</v>
      </c>
      <c r="M173" t="s">
        <v>672</v>
      </c>
      <c r="N173" t="s">
        <v>672</v>
      </c>
      <c r="O173" t="s">
        <v>942</v>
      </c>
      <c r="P173" t="s">
        <v>672</v>
      </c>
      <c r="Q173" t="s">
        <v>672</v>
      </c>
      <c r="R173" t="s">
        <v>672</v>
      </c>
      <c r="T173">
        <v>54</v>
      </c>
      <c r="U173" t="s">
        <v>673</v>
      </c>
      <c r="V173" t="s">
        <v>672</v>
      </c>
      <c r="W173" t="s">
        <v>672</v>
      </c>
      <c r="X173" t="s">
        <v>1315</v>
      </c>
      <c r="Y173" t="s">
        <v>672</v>
      </c>
      <c r="Z173" s="1">
        <v>43854</v>
      </c>
      <c r="AA173">
        <v>1</v>
      </c>
    </row>
    <row r="174" spans="1:27">
      <c r="A174" t="s">
        <v>340</v>
      </c>
      <c r="B174">
        <v>174</v>
      </c>
      <c r="C174" t="s">
        <v>1319</v>
      </c>
      <c r="D174" t="str">
        <f>VLOOKUP('[1]tblclients (1)'!A174,[1]Feuil1!$A$1:$G$203,4,0)</f>
        <v>ZADI</v>
      </c>
      <c r="E174" t="s">
        <v>672</v>
      </c>
      <c r="F174" t="s">
        <v>672</v>
      </c>
      <c r="G174" t="s">
        <v>1321</v>
      </c>
      <c r="H174" t="s">
        <v>1322</v>
      </c>
      <c r="I174" t="s">
        <v>672</v>
      </c>
      <c r="J174" t="s">
        <v>704</v>
      </c>
      <c r="K174" t="s">
        <v>677</v>
      </c>
      <c r="L174" t="s">
        <v>672</v>
      </c>
      <c r="M174" t="s">
        <v>672</v>
      </c>
      <c r="N174" t="s">
        <v>672</v>
      </c>
      <c r="O174" t="s">
        <v>705</v>
      </c>
      <c r="P174" t="s">
        <v>672</v>
      </c>
      <c r="Q174" t="s">
        <v>672</v>
      </c>
      <c r="R174" t="s">
        <v>672</v>
      </c>
      <c r="S174">
        <v>707765675</v>
      </c>
      <c r="T174">
        <v>54</v>
      </c>
      <c r="U174" t="s">
        <v>673</v>
      </c>
      <c r="V174" t="s">
        <v>672</v>
      </c>
      <c r="W174" t="s">
        <v>672</v>
      </c>
      <c r="X174" t="s">
        <v>1320</v>
      </c>
      <c r="Y174" t="s">
        <v>672</v>
      </c>
      <c r="Z174" s="1">
        <v>45040</v>
      </c>
      <c r="AA174">
        <v>1</v>
      </c>
    </row>
    <row r="175" spans="1:27">
      <c r="A175" t="s">
        <v>231</v>
      </c>
      <c r="B175">
        <v>175</v>
      </c>
      <c r="C175" t="s">
        <v>1323</v>
      </c>
      <c r="D175" t="str">
        <f>VLOOKUP('[1]tblclients (1)'!A175,[1]Feuil1!$A$1:$G$203,4,0)</f>
        <v>PAUL</v>
      </c>
      <c r="G175" t="s">
        <v>1325</v>
      </c>
      <c r="H175" t="s">
        <v>1326</v>
      </c>
      <c r="J175" t="s">
        <v>704</v>
      </c>
      <c r="K175" t="s">
        <v>677</v>
      </c>
      <c r="O175" t="s">
        <v>705</v>
      </c>
      <c r="S175">
        <v>707708230</v>
      </c>
      <c r="T175">
        <v>54</v>
      </c>
      <c r="U175" t="s">
        <v>673</v>
      </c>
      <c r="X175" t="s">
        <v>1324</v>
      </c>
      <c r="Z175" s="1">
        <v>44224</v>
      </c>
      <c r="AA175">
        <v>1</v>
      </c>
    </row>
    <row r="176" spans="1:27">
      <c r="A176" t="s">
        <v>360</v>
      </c>
      <c r="B176">
        <v>176</v>
      </c>
      <c r="C176" t="s">
        <v>1327</v>
      </c>
      <c r="D176" t="str">
        <f>VLOOKUP('[1]tblclients (1)'!A176,[1]Feuil1!$A$1:$G$203,4,0)</f>
        <v>PAUL</v>
      </c>
      <c r="G176" t="s">
        <v>1328</v>
      </c>
      <c r="H176" t="s">
        <v>1329</v>
      </c>
      <c r="J176" t="s">
        <v>704</v>
      </c>
      <c r="K176" t="s">
        <v>677</v>
      </c>
      <c r="O176" t="s">
        <v>692</v>
      </c>
      <c r="S176">
        <v>778433216</v>
      </c>
      <c r="T176">
        <v>54</v>
      </c>
      <c r="U176" t="s">
        <v>673</v>
      </c>
      <c r="Z176" s="1">
        <v>44224</v>
      </c>
      <c r="AA176">
        <v>1</v>
      </c>
    </row>
    <row r="177" spans="1:27">
      <c r="B177">
        <v>177</v>
      </c>
      <c r="C177" t="s">
        <v>1330</v>
      </c>
      <c r="D177" t="str">
        <f>VLOOKUP('[1]tblclients (1)'!A177,[1]Feuil1!$A$1:$G$203,4,0)</f>
        <v>PAUL</v>
      </c>
      <c r="E177" t="s">
        <v>672</v>
      </c>
      <c r="F177" t="s">
        <v>672</v>
      </c>
      <c r="G177" t="s">
        <v>1331</v>
      </c>
      <c r="I177" t="s">
        <v>672</v>
      </c>
      <c r="J177" t="s">
        <v>704</v>
      </c>
      <c r="L177" t="s">
        <v>672</v>
      </c>
      <c r="M177" t="s">
        <v>672</v>
      </c>
      <c r="N177" t="s">
        <v>672</v>
      </c>
      <c r="P177" t="s">
        <v>672</v>
      </c>
      <c r="Q177" t="s">
        <v>672</v>
      </c>
      <c r="R177" t="s">
        <v>672</v>
      </c>
      <c r="S177">
        <v>565117105</v>
      </c>
      <c r="T177">
        <v>54</v>
      </c>
      <c r="U177" t="s">
        <v>673</v>
      </c>
      <c r="V177" t="s">
        <v>672</v>
      </c>
      <c r="W177" t="s">
        <v>672</v>
      </c>
      <c r="X177" t="s">
        <v>978</v>
      </c>
      <c r="Y177" t="s">
        <v>672</v>
      </c>
      <c r="Z177" t="s">
        <v>2144</v>
      </c>
      <c r="AA177">
        <v>1</v>
      </c>
    </row>
    <row r="178" spans="1:27">
      <c r="B178">
        <v>178</v>
      </c>
      <c r="C178" t="s">
        <v>1332</v>
      </c>
      <c r="D178" t="str">
        <f>VLOOKUP('[1]tblclients (1)'!A178,[1]Feuil1!$A$1:$G$203,4,0)</f>
        <v>CABINET CFA</v>
      </c>
      <c r="E178" t="s">
        <v>672</v>
      </c>
      <c r="F178" t="s">
        <v>672</v>
      </c>
      <c r="G178" t="s">
        <v>1333</v>
      </c>
      <c r="I178" t="s">
        <v>672</v>
      </c>
      <c r="L178" t="s">
        <v>672</v>
      </c>
      <c r="M178" t="s">
        <v>672</v>
      </c>
      <c r="N178" t="s">
        <v>672</v>
      </c>
      <c r="P178" t="s">
        <v>672</v>
      </c>
      <c r="Q178" t="s">
        <v>672</v>
      </c>
      <c r="R178" t="s">
        <v>672</v>
      </c>
      <c r="T178">
        <v>54</v>
      </c>
      <c r="U178" t="s">
        <v>673</v>
      </c>
      <c r="V178" t="s">
        <v>672</v>
      </c>
      <c r="W178" t="s">
        <v>672</v>
      </c>
      <c r="Y178" t="s">
        <v>672</v>
      </c>
      <c r="Z178" t="s">
        <v>2144</v>
      </c>
      <c r="AA178">
        <v>1</v>
      </c>
    </row>
    <row r="179" spans="1:27">
      <c r="B179">
        <v>179</v>
      </c>
      <c r="C179" t="s">
        <v>1334</v>
      </c>
      <c r="D179" t="str">
        <f>VLOOKUP('[1]tblclients (1)'!A179,[1]Feuil1!$A$1:$G$203,4,0)</f>
        <v>ZADI</v>
      </c>
      <c r="E179" t="s">
        <v>672</v>
      </c>
      <c r="F179" t="s">
        <v>672</v>
      </c>
      <c r="G179" t="s">
        <v>1335</v>
      </c>
      <c r="I179" t="s">
        <v>672</v>
      </c>
      <c r="J179" t="s">
        <v>917</v>
      </c>
      <c r="L179" t="s">
        <v>672</v>
      </c>
      <c r="M179" t="s">
        <v>672</v>
      </c>
      <c r="N179" t="s">
        <v>672</v>
      </c>
      <c r="P179" t="s">
        <v>672</v>
      </c>
      <c r="Q179" t="s">
        <v>672</v>
      </c>
      <c r="R179" t="s">
        <v>672</v>
      </c>
      <c r="T179">
        <v>54</v>
      </c>
      <c r="U179" t="s">
        <v>673</v>
      </c>
      <c r="V179" t="s">
        <v>672</v>
      </c>
      <c r="W179" t="s">
        <v>672</v>
      </c>
      <c r="Y179" t="s">
        <v>672</v>
      </c>
      <c r="Z179" t="s">
        <v>2144</v>
      </c>
      <c r="AA179">
        <v>1</v>
      </c>
    </row>
    <row r="180" spans="1:27">
      <c r="B180">
        <v>180</v>
      </c>
      <c r="C180" t="s">
        <v>1336</v>
      </c>
      <c r="D180" t="str">
        <f>VLOOKUP('[1]tblclients (1)'!A180,[1]Feuil1!$A$1:$G$203,4,0)</f>
        <v>CABINET CFA</v>
      </c>
      <c r="E180" t="s">
        <v>672</v>
      </c>
      <c r="F180" t="s">
        <v>672</v>
      </c>
      <c r="G180" t="s">
        <v>1337</v>
      </c>
      <c r="I180" t="s">
        <v>672</v>
      </c>
      <c r="J180" t="s">
        <v>704</v>
      </c>
      <c r="L180" t="s">
        <v>672</v>
      </c>
      <c r="M180" t="s">
        <v>672</v>
      </c>
      <c r="N180" t="s">
        <v>672</v>
      </c>
      <c r="P180" t="s">
        <v>672</v>
      </c>
      <c r="Q180" t="s">
        <v>672</v>
      </c>
      <c r="R180" t="s">
        <v>672</v>
      </c>
      <c r="T180">
        <v>54</v>
      </c>
      <c r="U180" t="s">
        <v>673</v>
      </c>
      <c r="V180" t="s">
        <v>672</v>
      </c>
      <c r="W180" t="s">
        <v>672</v>
      </c>
      <c r="Y180" t="s">
        <v>672</v>
      </c>
      <c r="Z180" t="s">
        <v>2144</v>
      </c>
      <c r="AA180">
        <v>1</v>
      </c>
    </row>
    <row r="181" spans="1:27">
      <c r="B181">
        <v>181</v>
      </c>
      <c r="C181" t="s">
        <v>802</v>
      </c>
      <c r="D181" t="str">
        <f>VLOOKUP('[1]tblclients (1)'!A181,[1]Feuil1!$A$1:$G$203,4,0)</f>
        <v>CABINET CFA</v>
      </c>
      <c r="E181" t="s">
        <v>672</v>
      </c>
      <c r="F181" t="s">
        <v>672</v>
      </c>
      <c r="G181" t="s">
        <v>1338</v>
      </c>
      <c r="I181" t="s">
        <v>672</v>
      </c>
      <c r="J181" t="s">
        <v>676</v>
      </c>
      <c r="L181" t="s">
        <v>672</v>
      </c>
      <c r="M181" t="s">
        <v>672</v>
      </c>
      <c r="N181" t="s">
        <v>672</v>
      </c>
      <c r="P181" t="s">
        <v>672</v>
      </c>
      <c r="Q181" t="s">
        <v>672</v>
      </c>
      <c r="R181" t="s">
        <v>672</v>
      </c>
      <c r="S181">
        <v>708048295</v>
      </c>
      <c r="T181">
        <v>54</v>
      </c>
      <c r="U181" t="s">
        <v>673</v>
      </c>
      <c r="V181" t="s">
        <v>672</v>
      </c>
      <c r="W181" t="s">
        <v>672</v>
      </c>
      <c r="X181" t="s">
        <v>807</v>
      </c>
      <c r="Y181" t="s">
        <v>672</v>
      </c>
      <c r="Z181" t="s">
        <v>2144</v>
      </c>
      <c r="AA181">
        <v>1</v>
      </c>
    </row>
    <row r="182" spans="1:27">
      <c r="B182">
        <v>182</v>
      </c>
      <c r="C182" t="s">
        <v>1339</v>
      </c>
      <c r="D182" t="str">
        <f>VLOOKUP('[1]tblclients (1)'!A182,[1]Feuil1!$A$1:$G$203,4,0)</f>
        <v>KOFFI ALBERT</v>
      </c>
      <c r="E182" t="s">
        <v>672</v>
      </c>
      <c r="F182" t="s">
        <v>672</v>
      </c>
      <c r="G182" t="s">
        <v>1341</v>
      </c>
      <c r="I182" t="s">
        <v>672</v>
      </c>
      <c r="J182" t="s">
        <v>704</v>
      </c>
      <c r="L182" t="s">
        <v>672</v>
      </c>
      <c r="M182" t="s">
        <v>672</v>
      </c>
      <c r="N182" t="s">
        <v>672</v>
      </c>
      <c r="P182" t="s">
        <v>672</v>
      </c>
      <c r="Q182" t="s">
        <v>672</v>
      </c>
      <c r="R182" t="s">
        <v>672</v>
      </c>
      <c r="S182">
        <v>21369577</v>
      </c>
      <c r="T182">
        <v>54</v>
      </c>
      <c r="U182" t="s">
        <v>673</v>
      </c>
      <c r="V182" t="s">
        <v>672</v>
      </c>
      <c r="W182" t="s">
        <v>672</v>
      </c>
      <c r="X182" t="s">
        <v>1340</v>
      </c>
      <c r="Y182" t="s">
        <v>672</v>
      </c>
      <c r="Z182" t="s">
        <v>2144</v>
      </c>
      <c r="AA182">
        <v>1</v>
      </c>
    </row>
    <row r="183" spans="1:27">
      <c r="B183">
        <v>183</v>
      </c>
      <c r="C183" t="s">
        <v>1342</v>
      </c>
      <c r="D183" t="str">
        <f>VLOOKUP('[1]tblclients (1)'!A183,[1]Feuil1!$A$1:$G$203,4,0)</f>
        <v>KODJO KOFFI</v>
      </c>
      <c r="E183" t="s">
        <v>672</v>
      </c>
      <c r="F183" t="s">
        <v>672</v>
      </c>
      <c r="G183" t="s">
        <v>2153</v>
      </c>
      <c r="I183" t="s">
        <v>672</v>
      </c>
      <c r="L183" t="s">
        <v>672</v>
      </c>
      <c r="M183" t="s">
        <v>672</v>
      </c>
      <c r="N183" t="s">
        <v>672</v>
      </c>
      <c r="P183" t="s">
        <v>672</v>
      </c>
      <c r="Q183" t="s">
        <v>672</v>
      </c>
      <c r="R183" t="s">
        <v>672</v>
      </c>
      <c r="T183">
        <v>54</v>
      </c>
      <c r="U183" t="s">
        <v>673</v>
      </c>
      <c r="V183" t="s">
        <v>672</v>
      </c>
      <c r="W183" t="s">
        <v>672</v>
      </c>
      <c r="Y183" t="s">
        <v>672</v>
      </c>
      <c r="Z183" t="s">
        <v>2144</v>
      </c>
      <c r="AA183">
        <v>1</v>
      </c>
    </row>
    <row r="184" spans="1:27">
      <c r="B184">
        <v>184</v>
      </c>
      <c r="C184" t="s">
        <v>1344</v>
      </c>
      <c r="D184" t="str">
        <f>VLOOKUP('[1]tblclients (1)'!A184,[1]Feuil1!$A$1:$G$203,4,0)</f>
        <v>KODJO KOFFI</v>
      </c>
      <c r="E184" t="s">
        <v>672</v>
      </c>
      <c r="F184" t="s">
        <v>672</v>
      </c>
      <c r="G184" t="s">
        <v>2154</v>
      </c>
      <c r="I184" t="s">
        <v>672</v>
      </c>
      <c r="L184" t="s">
        <v>672</v>
      </c>
      <c r="M184" t="s">
        <v>672</v>
      </c>
      <c r="N184" t="s">
        <v>672</v>
      </c>
      <c r="O184" t="s">
        <v>2155</v>
      </c>
      <c r="P184" t="s">
        <v>672</v>
      </c>
      <c r="Q184" t="s">
        <v>672</v>
      </c>
      <c r="R184" t="s">
        <v>672</v>
      </c>
      <c r="T184">
        <v>54</v>
      </c>
      <c r="U184" t="s">
        <v>673</v>
      </c>
      <c r="V184" t="s">
        <v>672</v>
      </c>
      <c r="W184" t="s">
        <v>672</v>
      </c>
      <c r="Y184" t="s">
        <v>672</v>
      </c>
      <c r="Z184" t="s">
        <v>2144</v>
      </c>
      <c r="AA184">
        <v>1</v>
      </c>
    </row>
    <row r="185" spans="1:27">
      <c r="B185">
        <v>185</v>
      </c>
      <c r="C185" t="s">
        <v>1345</v>
      </c>
      <c r="D185" t="str">
        <f>VLOOKUP('[1]tblclients (1)'!A185,[1]Feuil1!$A$1:$G$203,4,0)</f>
        <v>KODJO KOFFI</v>
      </c>
      <c r="E185" t="s">
        <v>672</v>
      </c>
      <c r="F185" t="s">
        <v>672</v>
      </c>
      <c r="G185" t="s">
        <v>2156</v>
      </c>
      <c r="I185" t="s">
        <v>672</v>
      </c>
      <c r="L185" t="s">
        <v>672</v>
      </c>
      <c r="M185" t="s">
        <v>672</v>
      </c>
      <c r="N185" t="s">
        <v>672</v>
      </c>
      <c r="P185" t="s">
        <v>672</v>
      </c>
      <c r="Q185" t="s">
        <v>672</v>
      </c>
      <c r="R185" t="s">
        <v>672</v>
      </c>
      <c r="T185">
        <v>54</v>
      </c>
      <c r="U185" t="s">
        <v>673</v>
      </c>
      <c r="V185" t="s">
        <v>672</v>
      </c>
      <c r="W185" t="s">
        <v>672</v>
      </c>
      <c r="Y185" t="s">
        <v>672</v>
      </c>
      <c r="Z185" t="s">
        <v>2144</v>
      </c>
      <c r="AA185">
        <v>1</v>
      </c>
    </row>
    <row r="186" spans="1:27">
      <c r="B186">
        <v>186</v>
      </c>
      <c r="C186" t="s">
        <v>1346</v>
      </c>
      <c r="D186" t="str">
        <f>VLOOKUP('[1]tblclients (1)'!A186,[1]Feuil1!$A$1:$G$203,4,0)</f>
        <v>KODJO KOFFI</v>
      </c>
      <c r="E186" t="s">
        <v>672</v>
      </c>
      <c r="F186" t="s">
        <v>672</v>
      </c>
      <c r="G186" t="s">
        <v>2157</v>
      </c>
      <c r="I186" t="s">
        <v>672</v>
      </c>
      <c r="L186" t="s">
        <v>672</v>
      </c>
      <c r="M186" t="s">
        <v>672</v>
      </c>
      <c r="N186" t="s">
        <v>672</v>
      </c>
      <c r="P186" t="s">
        <v>672</v>
      </c>
      <c r="Q186" t="s">
        <v>672</v>
      </c>
      <c r="R186" t="s">
        <v>672</v>
      </c>
      <c r="T186">
        <v>54</v>
      </c>
      <c r="U186" t="s">
        <v>673</v>
      </c>
      <c r="V186" t="s">
        <v>672</v>
      </c>
      <c r="W186" t="s">
        <v>672</v>
      </c>
      <c r="Y186" t="s">
        <v>672</v>
      </c>
      <c r="Z186" t="s">
        <v>2144</v>
      </c>
      <c r="AA186">
        <v>1</v>
      </c>
    </row>
    <row r="187" spans="1:27">
      <c r="B187">
        <v>187</v>
      </c>
      <c r="C187" t="s">
        <v>1347</v>
      </c>
      <c r="D187" t="str">
        <f>VLOOKUP('[1]tblclients (1)'!A187,[1]Feuil1!$A$1:$G$203,4,0)</f>
        <v>KODJO KOFFI</v>
      </c>
      <c r="E187" t="s">
        <v>672</v>
      </c>
      <c r="F187" t="s">
        <v>672</v>
      </c>
      <c r="G187" t="s">
        <v>1348</v>
      </c>
      <c r="I187" t="s">
        <v>672</v>
      </c>
      <c r="L187" t="s">
        <v>672</v>
      </c>
      <c r="M187" t="s">
        <v>672</v>
      </c>
      <c r="N187" t="s">
        <v>672</v>
      </c>
      <c r="P187" t="s">
        <v>672</v>
      </c>
      <c r="Q187" t="s">
        <v>672</v>
      </c>
      <c r="R187" t="s">
        <v>672</v>
      </c>
      <c r="T187">
        <v>54</v>
      </c>
      <c r="U187" t="s">
        <v>673</v>
      </c>
      <c r="V187" t="s">
        <v>672</v>
      </c>
      <c r="W187" t="s">
        <v>672</v>
      </c>
      <c r="Y187" t="s">
        <v>672</v>
      </c>
      <c r="Z187" t="s">
        <v>2144</v>
      </c>
      <c r="AA187">
        <v>1</v>
      </c>
    </row>
    <row r="188" spans="1:27">
      <c r="A188" t="s">
        <v>440</v>
      </c>
      <c r="B188">
        <v>188</v>
      </c>
      <c r="C188" t="s">
        <v>1349</v>
      </c>
      <c r="D188" t="str">
        <f>VLOOKUP('[1]tblclients (1)'!A188,[1]Feuil1!$A$1:$G$203,4,0)</f>
        <v>DCK</v>
      </c>
      <c r="E188" t="s">
        <v>672</v>
      </c>
      <c r="F188" t="s">
        <v>672</v>
      </c>
      <c r="G188" t="s">
        <v>2158</v>
      </c>
      <c r="H188" t="s">
        <v>2159</v>
      </c>
      <c r="I188" t="s">
        <v>672</v>
      </c>
      <c r="J188" t="s">
        <v>917</v>
      </c>
      <c r="K188" t="s">
        <v>1352</v>
      </c>
      <c r="L188" t="s">
        <v>672</v>
      </c>
      <c r="M188" t="s">
        <v>672</v>
      </c>
      <c r="N188" t="s">
        <v>672</v>
      </c>
      <c r="O188" t="s">
        <v>750</v>
      </c>
      <c r="P188" t="s">
        <v>672</v>
      </c>
      <c r="Q188" t="s">
        <v>672</v>
      </c>
      <c r="R188" t="s">
        <v>672</v>
      </c>
      <c r="S188">
        <v>708455274</v>
      </c>
      <c r="T188">
        <v>54</v>
      </c>
      <c r="U188" t="s">
        <v>673</v>
      </c>
      <c r="V188" t="s">
        <v>672</v>
      </c>
      <c r="W188" t="s">
        <v>672</v>
      </c>
      <c r="X188" t="s">
        <v>2160</v>
      </c>
      <c r="Y188" t="s">
        <v>672</v>
      </c>
      <c r="Z188" s="1">
        <v>44583</v>
      </c>
      <c r="AA188">
        <v>1</v>
      </c>
    </row>
    <row r="189" spans="1:27">
      <c r="A189" t="s">
        <v>364</v>
      </c>
      <c r="B189">
        <v>189</v>
      </c>
      <c r="C189" t="s">
        <v>365</v>
      </c>
      <c r="D189" t="str">
        <f>VLOOKUP('[1]tblclients (1)'!A189,[1]Feuil1!$A$1:$G$203,4,0)</f>
        <v>DCK</v>
      </c>
      <c r="E189" t="s">
        <v>672</v>
      </c>
      <c r="F189" t="s">
        <v>672</v>
      </c>
      <c r="G189" t="s">
        <v>2161</v>
      </c>
      <c r="H189" t="s">
        <v>2162</v>
      </c>
      <c r="I189" t="s">
        <v>1353</v>
      </c>
      <c r="J189" t="s">
        <v>704</v>
      </c>
      <c r="K189" t="s">
        <v>677</v>
      </c>
      <c r="L189" t="s">
        <v>2163</v>
      </c>
      <c r="O189" t="s">
        <v>942</v>
      </c>
      <c r="Q189">
        <v>1000000</v>
      </c>
      <c r="S189">
        <v>707812605</v>
      </c>
      <c r="T189">
        <v>54</v>
      </c>
      <c r="U189" t="s">
        <v>673</v>
      </c>
      <c r="Z189" s="1">
        <v>45306</v>
      </c>
      <c r="AA189">
        <v>1</v>
      </c>
    </row>
    <row r="190" spans="1:27">
      <c r="A190" t="s">
        <v>540</v>
      </c>
      <c r="B190">
        <v>190</v>
      </c>
      <c r="C190" t="s">
        <v>541</v>
      </c>
      <c r="D190" t="str">
        <f>VLOOKUP('[1]tblclients (1)'!A190,[1]Feuil1!$A$1:$G$203,4,0)</f>
        <v>DCK</v>
      </c>
      <c r="E190" t="s">
        <v>2164</v>
      </c>
      <c r="F190" t="s">
        <v>2165</v>
      </c>
      <c r="G190" t="s">
        <v>2166</v>
      </c>
      <c r="H190" t="s">
        <v>2167</v>
      </c>
      <c r="I190" t="s">
        <v>1357</v>
      </c>
      <c r="J190" t="s">
        <v>1078</v>
      </c>
      <c r="K190" t="s">
        <v>677</v>
      </c>
      <c r="L190" t="s">
        <v>1359</v>
      </c>
      <c r="M190" t="s">
        <v>681</v>
      </c>
      <c r="N190" t="s">
        <v>681</v>
      </c>
      <c r="P190" t="s">
        <v>904</v>
      </c>
      <c r="Q190">
        <v>300000</v>
      </c>
      <c r="R190" t="s">
        <v>681</v>
      </c>
      <c r="S190">
        <v>708275908</v>
      </c>
      <c r="T190">
        <v>54</v>
      </c>
      <c r="U190" t="s">
        <v>673</v>
      </c>
      <c r="V190" t="s">
        <v>1356</v>
      </c>
      <c r="W190" t="s">
        <v>2168</v>
      </c>
      <c r="X190" t="s">
        <v>1355</v>
      </c>
      <c r="Y190" t="s">
        <v>681</v>
      </c>
      <c r="Z190" s="1">
        <v>45307</v>
      </c>
      <c r="AA190">
        <v>1</v>
      </c>
    </row>
    <row r="191" spans="1:27">
      <c r="A191" t="s">
        <v>1364</v>
      </c>
      <c r="B191">
        <v>191</v>
      </c>
      <c r="C191" t="s">
        <v>1360</v>
      </c>
      <c r="D191" t="str">
        <f>VLOOKUP('[1]tblclients (1)'!A191,[1]Feuil1!$A$1:$G$203,4,0)</f>
        <v>DCK</v>
      </c>
      <c r="E191" t="s">
        <v>2169</v>
      </c>
      <c r="F191" t="s">
        <v>1361</v>
      </c>
      <c r="G191" t="s">
        <v>1366</v>
      </c>
      <c r="H191" t="s">
        <v>1367</v>
      </c>
      <c r="I191" t="s">
        <v>1363</v>
      </c>
      <c r="J191" t="s">
        <v>704</v>
      </c>
      <c r="K191" t="s">
        <v>712</v>
      </c>
      <c r="L191" t="s">
        <v>1368</v>
      </c>
      <c r="O191" t="s">
        <v>687</v>
      </c>
      <c r="P191" t="s">
        <v>1369</v>
      </c>
      <c r="Q191">
        <v>1000000</v>
      </c>
      <c r="R191" t="s">
        <v>1365</v>
      </c>
      <c r="S191">
        <v>777840068</v>
      </c>
      <c r="T191">
        <v>54</v>
      </c>
      <c r="U191" t="s">
        <v>673</v>
      </c>
      <c r="V191" t="s">
        <v>1362</v>
      </c>
      <c r="X191" t="s">
        <v>2170</v>
      </c>
      <c r="Z191" s="1">
        <v>45307</v>
      </c>
      <c r="AA191">
        <v>1</v>
      </c>
    </row>
    <row r="192" spans="1:27">
      <c r="A192" t="s">
        <v>86</v>
      </c>
      <c r="B192">
        <v>192</v>
      </c>
      <c r="C192" t="s">
        <v>1370</v>
      </c>
      <c r="D192" t="str">
        <f>VLOOKUP('[1]tblclients (1)'!A192,[1]Feuil1!$A$1:$G$203,4,0)</f>
        <v>DCK</v>
      </c>
      <c r="E192" t="s">
        <v>2171</v>
      </c>
      <c r="F192" t="s">
        <v>2139</v>
      </c>
      <c r="G192" t="s">
        <v>2172</v>
      </c>
      <c r="H192" t="s">
        <v>2173</v>
      </c>
      <c r="I192" t="s">
        <v>1374</v>
      </c>
      <c r="J192" t="s">
        <v>704</v>
      </c>
      <c r="K192" t="s">
        <v>677</v>
      </c>
      <c r="L192" t="s">
        <v>1375</v>
      </c>
      <c r="M192" t="s">
        <v>1376</v>
      </c>
      <c r="N192">
        <v>173</v>
      </c>
      <c r="P192" t="s">
        <v>1377</v>
      </c>
      <c r="Q192">
        <v>2000000</v>
      </c>
      <c r="R192" t="s">
        <v>681</v>
      </c>
      <c r="S192">
        <v>788194883</v>
      </c>
      <c r="T192">
        <v>54</v>
      </c>
      <c r="U192" t="s">
        <v>673</v>
      </c>
      <c r="V192" t="s">
        <v>1372</v>
      </c>
      <c r="W192" t="s">
        <v>1373</v>
      </c>
      <c r="X192" t="s">
        <v>1371</v>
      </c>
      <c r="Y192" t="s">
        <v>681</v>
      </c>
      <c r="Z192" s="1">
        <v>45307</v>
      </c>
      <c r="AA192">
        <v>1</v>
      </c>
    </row>
    <row r="193" spans="1:27">
      <c r="A193" t="s">
        <v>195</v>
      </c>
      <c r="B193">
        <v>193</v>
      </c>
      <c r="C193" t="s">
        <v>196</v>
      </c>
      <c r="D193" t="str">
        <f>VLOOKUP('[1]tblclients (1)'!A193,[1]Feuil1!$A$1:$G$203,4,0)</f>
        <v>DCK</v>
      </c>
      <c r="E193" t="s">
        <v>2174</v>
      </c>
      <c r="F193" t="s">
        <v>882</v>
      </c>
      <c r="G193" t="s">
        <v>1382</v>
      </c>
      <c r="H193" t="s">
        <v>1383</v>
      </c>
      <c r="I193" t="s">
        <v>1380</v>
      </c>
      <c r="J193" t="s">
        <v>704</v>
      </c>
      <c r="K193" t="s">
        <v>712</v>
      </c>
      <c r="L193" t="s">
        <v>1384</v>
      </c>
      <c r="M193" t="s">
        <v>1385</v>
      </c>
      <c r="N193">
        <v>565</v>
      </c>
      <c r="O193" t="s">
        <v>705</v>
      </c>
      <c r="P193" t="s">
        <v>1386</v>
      </c>
      <c r="Q193">
        <v>1000000</v>
      </c>
      <c r="R193" t="s">
        <v>1381</v>
      </c>
      <c r="S193">
        <v>556628671</v>
      </c>
      <c r="T193">
        <v>54</v>
      </c>
      <c r="U193" t="s">
        <v>673</v>
      </c>
      <c r="V193" t="s">
        <v>1379</v>
      </c>
      <c r="X193" t="s">
        <v>1378</v>
      </c>
      <c r="Z193" s="1">
        <v>45308</v>
      </c>
      <c r="AA193">
        <v>1</v>
      </c>
    </row>
    <row r="194" spans="1:27">
      <c r="A194" t="s">
        <v>294</v>
      </c>
      <c r="B194">
        <v>194</v>
      </c>
      <c r="C194" t="s">
        <v>295</v>
      </c>
      <c r="D194" t="str">
        <f>VLOOKUP('[1]tblclients (1)'!A194,[1]Feuil1!$A$1:$G$203,4,0)</f>
        <v>DCK</v>
      </c>
      <c r="E194" t="s">
        <v>295</v>
      </c>
      <c r="F194" t="s">
        <v>1388</v>
      </c>
      <c r="G194" t="s">
        <v>1393</v>
      </c>
      <c r="H194" t="s">
        <v>1394</v>
      </c>
      <c r="I194" t="s">
        <v>1391</v>
      </c>
      <c r="J194" t="s">
        <v>676</v>
      </c>
      <c r="K194" t="s">
        <v>677</v>
      </c>
      <c r="L194" t="s">
        <v>1395</v>
      </c>
      <c r="O194" t="s">
        <v>742</v>
      </c>
      <c r="P194" t="s">
        <v>1396</v>
      </c>
      <c r="R194" t="s">
        <v>1392</v>
      </c>
      <c r="S194">
        <v>556628671</v>
      </c>
      <c r="T194">
        <v>54</v>
      </c>
      <c r="U194" t="s">
        <v>673</v>
      </c>
      <c r="V194" t="s">
        <v>1389</v>
      </c>
      <c r="W194" t="s">
        <v>1390</v>
      </c>
      <c r="X194" t="s">
        <v>2175</v>
      </c>
      <c r="Z194" s="1">
        <v>45308</v>
      </c>
      <c r="AA194">
        <v>1</v>
      </c>
    </row>
    <row r="195" spans="1:27">
      <c r="A195" t="s">
        <v>1401</v>
      </c>
      <c r="B195">
        <v>195</v>
      </c>
      <c r="C195" t="s">
        <v>1397</v>
      </c>
      <c r="D195" t="str">
        <f>VLOOKUP('[1]tblclients (1)'!A195,[1]Feuil1!$A$1:$G$203,4,0)</f>
        <v>DCK</v>
      </c>
      <c r="E195" t="s">
        <v>2176</v>
      </c>
      <c r="F195" t="s">
        <v>882</v>
      </c>
      <c r="G195" t="s">
        <v>1403</v>
      </c>
      <c r="H195" t="s">
        <v>1404</v>
      </c>
      <c r="I195" t="s">
        <v>1400</v>
      </c>
      <c r="J195" t="s">
        <v>704</v>
      </c>
      <c r="K195" t="s">
        <v>677</v>
      </c>
      <c r="L195" t="s">
        <v>1405</v>
      </c>
      <c r="O195" t="s">
        <v>750</v>
      </c>
      <c r="P195" t="s">
        <v>1406</v>
      </c>
      <c r="Q195">
        <v>1000000</v>
      </c>
      <c r="R195" t="s">
        <v>1402</v>
      </c>
      <c r="S195">
        <v>556628671</v>
      </c>
      <c r="T195">
        <v>54</v>
      </c>
      <c r="U195" t="s">
        <v>673</v>
      </c>
      <c r="V195" t="s">
        <v>1399</v>
      </c>
      <c r="X195" t="s">
        <v>1398</v>
      </c>
      <c r="Z195" s="1">
        <v>45308</v>
      </c>
      <c r="AA195">
        <v>1</v>
      </c>
    </row>
    <row r="196" spans="1:27">
      <c r="A196" t="s">
        <v>430</v>
      </c>
      <c r="B196">
        <v>196</v>
      </c>
      <c r="C196" t="s">
        <v>2177</v>
      </c>
      <c r="D196" t="str">
        <f>VLOOKUP('[1]tblclients (1)'!A196,[1]Feuil1!$A$1:$G$203,4,0)</f>
        <v>DCK</v>
      </c>
      <c r="E196" t="s">
        <v>2178</v>
      </c>
      <c r="F196" t="s">
        <v>1408</v>
      </c>
      <c r="G196" t="s">
        <v>1411</v>
      </c>
      <c r="H196" t="s">
        <v>1412</v>
      </c>
      <c r="I196" t="s">
        <v>1410</v>
      </c>
      <c r="J196" t="s">
        <v>704</v>
      </c>
      <c r="K196" t="s">
        <v>712</v>
      </c>
      <c r="L196" t="s">
        <v>1413</v>
      </c>
      <c r="Q196">
        <v>1000000</v>
      </c>
      <c r="S196">
        <v>504811010</v>
      </c>
      <c r="T196">
        <v>54</v>
      </c>
      <c r="U196" t="s">
        <v>1111</v>
      </c>
      <c r="V196" t="s">
        <v>1409</v>
      </c>
      <c r="X196" t="s">
        <v>1407</v>
      </c>
      <c r="Z196" s="1">
        <v>45310</v>
      </c>
      <c r="AA196">
        <v>1</v>
      </c>
    </row>
    <row r="197" spans="1:27">
      <c r="A197" t="s">
        <v>263</v>
      </c>
      <c r="B197">
        <v>197</v>
      </c>
      <c r="C197" t="s">
        <v>2179</v>
      </c>
      <c r="D197" t="str">
        <f>VLOOKUP('[1]tblclients (1)'!A197,[1]Feuil1!$A$1:$G$203,4,0)</f>
        <v>DCK</v>
      </c>
      <c r="E197" t="s">
        <v>264</v>
      </c>
      <c r="F197" t="s">
        <v>1415</v>
      </c>
      <c r="G197" t="s">
        <v>1418</v>
      </c>
      <c r="H197" t="s">
        <v>1419</v>
      </c>
      <c r="I197" t="s">
        <v>1417</v>
      </c>
      <c r="J197" t="s">
        <v>676</v>
      </c>
      <c r="K197" t="s">
        <v>677</v>
      </c>
      <c r="L197" t="s">
        <v>1420</v>
      </c>
      <c r="O197" t="s">
        <v>692</v>
      </c>
      <c r="S197">
        <v>707824285</v>
      </c>
      <c r="T197">
        <v>54</v>
      </c>
      <c r="U197" t="s">
        <v>1416</v>
      </c>
      <c r="X197" t="s">
        <v>1414</v>
      </c>
      <c r="Z197" s="1">
        <v>45310</v>
      </c>
      <c r="AA197">
        <v>1</v>
      </c>
    </row>
    <row r="198" spans="1:27">
      <c r="A198" t="s">
        <v>205</v>
      </c>
      <c r="B198">
        <v>198</v>
      </c>
      <c r="C198" t="s">
        <v>2180</v>
      </c>
      <c r="D198" t="str">
        <f>VLOOKUP('[1]tblclients (1)'!A198,[1]Feuil1!$A$1:$G$203,4,0)</f>
        <v>DCK</v>
      </c>
      <c r="E198" t="s">
        <v>2181</v>
      </c>
      <c r="F198" t="s">
        <v>1408</v>
      </c>
      <c r="G198" t="s">
        <v>2182</v>
      </c>
      <c r="H198" t="s">
        <v>2183</v>
      </c>
      <c r="I198" t="s">
        <v>1422</v>
      </c>
      <c r="J198" t="s">
        <v>704</v>
      </c>
      <c r="K198" t="s">
        <v>677</v>
      </c>
      <c r="L198" t="s">
        <v>2184</v>
      </c>
      <c r="M198" t="s">
        <v>869</v>
      </c>
      <c r="N198">
        <v>1175</v>
      </c>
      <c r="O198" t="s">
        <v>692</v>
      </c>
      <c r="P198" t="s">
        <v>1424</v>
      </c>
      <c r="Q198" s="2">
        <v>1000000</v>
      </c>
      <c r="S198">
        <v>749573820</v>
      </c>
      <c r="T198">
        <v>54</v>
      </c>
      <c r="U198" t="s">
        <v>1416</v>
      </c>
      <c r="X198" t="s">
        <v>1421</v>
      </c>
      <c r="Z198" s="1">
        <v>45313</v>
      </c>
      <c r="AA198">
        <v>1</v>
      </c>
    </row>
    <row r="199" spans="1:27">
      <c r="A199" t="s">
        <v>532</v>
      </c>
      <c r="B199">
        <v>199</v>
      </c>
      <c r="C199" t="s">
        <v>2185</v>
      </c>
      <c r="D199" t="str">
        <f>VLOOKUP('[1]tblclients (1)'!A199,[1]Feuil1!$A$1:$G$203,4,0)</f>
        <v>DCK</v>
      </c>
      <c r="E199" t="s">
        <v>2186</v>
      </c>
      <c r="F199" t="s">
        <v>1440</v>
      </c>
      <c r="G199" t="s">
        <v>2187</v>
      </c>
      <c r="H199" t="s">
        <v>2188</v>
      </c>
      <c r="I199" t="s">
        <v>1426</v>
      </c>
      <c r="J199" t="s">
        <v>704</v>
      </c>
      <c r="K199" t="s">
        <v>677</v>
      </c>
      <c r="L199" t="s">
        <v>2189</v>
      </c>
      <c r="O199" t="s">
        <v>692</v>
      </c>
      <c r="Q199">
        <v>1000000</v>
      </c>
      <c r="S199">
        <v>707095788</v>
      </c>
      <c r="T199">
        <v>54</v>
      </c>
      <c r="U199" t="s">
        <v>1416</v>
      </c>
      <c r="X199" t="s">
        <v>1425</v>
      </c>
      <c r="Z199" s="1">
        <v>45313</v>
      </c>
      <c r="AA199">
        <v>1</v>
      </c>
    </row>
    <row r="200" spans="1:27">
      <c r="A200" t="s">
        <v>112</v>
      </c>
      <c r="B200">
        <v>200</v>
      </c>
      <c r="C200" t="s">
        <v>113</v>
      </c>
      <c r="D200" t="e">
        <f>VLOOKUP('[1]tblclients (1)'!A200,[1]Feuil1!$A$1:$G$203,4,0)</f>
        <v>#N/A</v>
      </c>
      <c r="E200" t="s">
        <v>2190</v>
      </c>
      <c r="F200" t="s">
        <v>882</v>
      </c>
      <c r="G200" t="s">
        <v>1431</v>
      </c>
      <c r="H200" t="s">
        <v>1432</v>
      </c>
      <c r="I200" t="s">
        <v>1430</v>
      </c>
      <c r="J200" t="s">
        <v>704</v>
      </c>
      <c r="K200" t="s">
        <v>677</v>
      </c>
      <c r="L200" t="s">
        <v>1433</v>
      </c>
      <c r="O200" t="s">
        <v>687</v>
      </c>
      <c r="P200" t="s">
        <v>1434</v>
      </c>
      <c r="Q200">
        <v>1000000</v>
      </c>
      <c r="S200">
        <v>757723842</v>
      </c>
      <c r="T200">
        <v>54</v>
      </c>
      <c r="U200" t="s">
        <v>1416</v>
      </c>
      <c r="X200" t="s">
        <v>1429</v>
      </c>
      <c r="Z200" s="1">
        <v>45314</v>
      </c>
      <c r="AA200">
        <v>1</v>
      </c>
    </row>
    <row r="201" spans="1:27">
      <c r="A201" t="s">
        <v>318</v>
      </c>
      <c r="B201">
        <v>201</v>
      </c>
      <c r="C201" t="s">
        <v>2191</v>
      </c>
      <c r="D201" t="e">
        <f>VLOOKUP('[1]tblclients (1)'!A201,[1]Feuil1!$A$1:$G$203,4,0)</f>
        <v>#N/A</v>
      </c>
      <c r="E201" t="s">
        <v>2192</v>
      </c>
      <c r="F201" t="s">
        <v>1440</v>
      </c>
      <c r="G201" t="s">
        <v>2193</v>
      </c>
      <c r="H201" t="s">
        <v>2194</v>
      </c>
      <c r="I201" t="s">
        <v>1436</v>
      </c>
      <c r="J201" t="s">
        <v>704</v>
      </c>
      <c r="K201" t="s">
        <v>677</v>
      </c>
      <c r="L201" t="s">
        <v>2195</v>
      </c>
      <c r="M201" t="s">
        <v>2196</v>
      </c>
      <c r="N201">
        <v>23</v>
      </c>
      <c r="O201" t="s">
        <v>692</v>
      </c>
      <c r="Q201" s="2">
        <v>1000000</v>
      </c>
      <c r="S201">
        <v>708509238</v>
      </c>
      <c r="T201">
        <v>54</v>
      </c>
      <c r="U201" t="s">
        <v>1416</v>
      </c>
      <c r="X201" t="s">
        <v>1435</v>
      </c>
      <c r="Z201" s="1">
        <v>45314</v>
      </c>
      <c r="AA201">
        <v>1</v>
      </c>
    </row>
    <row r="202" spans="1:27">
      <c r="A202" t="s">
        <v>434</v>
      </c>
      <c r="B202">
        <v>203</v>
      </c>
      <c r="C202" t="s">
        <v>2197</v>
      </c>
      <c r="D202" t="e">
        <f>VLOOKUP('[1]tblclients (1)'!A202,[1]Feuil1!$A$1:$G$203,4,0)</f>
        <v>#N/A</v>
      </c>
      <c r="E202" t="s">
        <v>2198</v>
      </c>
      <c r="F202" t="s">
        <v>1440</v>
      </c>
      <c r="G202" t="s">
        <v>1442</v>
      </c>
      <c r="H202" t="s">
        <v>1443</v>
      </c>
      <c r="I202" t="s">
        <v>1441</v>
      </c>
      <c r="J202" t="s">
        <v>704</v>
      </c>
      <c r="K202" t="s">
        <v>677</v>
      </c>
      <c r="L202" t="s">
        <v>1444</v>
      </c>
      <c r="O202" t="s">
        <v>942</v>
      </c>
      <c r="P202" t="s">
        <v>1369</v>
      </c>
      <c r="Q202" s="2">
        <v>1000000</v>
      </c>
      <c r="S202">
        <v>102074992</v>
      </c>
      <c r="T202">
        <v>54</v>
      </c>
      <c r="U202" t="s">
        <v>1416</v>
      </c>
      <c r="X202" t="s">
        <v>1439</v>
      </c>
      <c r="Z202" s="1">
        <v>45315</v>
      </c>
      <c r="AA202">
        <v>1</v>
      </c>
    </row>
    <row r="203" spans="1:27">
      <c r="A203" t="s">
        <v>64</v>
      </c>
      <c r="B203">
        <v>204</v>
      </c>
      <c r="C203" t="s">
        <v>1445</v>
      </c>
      <c r="D203" t="e">
        <f>VLOOKUP('[1]tblclients (1)'!A203,[1]Feuil1!$A$1:$G$203,4,0)</f>
        <v>#N/A</v>
      </c>
      <c r="E203" t="s">
        <v>2199</v>
      </c>
      <c r="F203" t="s">
        <v>1447</v>
      </c>
      <c r="G203" t="s">
        <v>1450</v>
      </c>
      <c r="H203" t="s">
        <v>1451</v>
      </c>
      <c r="I203" t="s">
        <v>1449</v>
      </c>
      <c r="J203" t="s">
        <v>1078</v>
      </c>
      <c r="K203" t="s">
        <v>677</v>
      </c>
      <c r="L203" t="s">
        <v>1452</v>
      </c>
      <c r="M203" t="s">
        <v>1453</v>
      </c>
      <c r="N203">
        <v>297</v>
      </c>
      <c r="O203" t="s">
        <v>834</v>
      </c>
      <c r="P203" t="s">
        <v>1454</v>
      </c>
      <c r="Q203" s="2">
        <v>10000000</v>
      </c>
      <c r="S203">
        <v>778292924</v>
      </c>
      <c r="T203">
        <v>54</v>
      </c>
      <c r="U203" t="s">
        <v>1416</v>
      </c>
      <c r="W203" t="s">
        <v>1448</v>
      </c>
      <c r="X203" t="s">
        <v>1446</v>
      </c>
      <c r="Z203" s="1">
        <v>45315</v>
      </c>
      <c r="AA203">
        <v>1</v>
      </c>
    </row>
    <row r="204" spans="1:27">
      <c r="A204" t="s">
        <v>110</v>
      </c>
      <c r="B204">
        <v>205</v>
      </c>
      <c r="C204" t="s">
        <v>1455</v>
      </c>
      <c r="D204" t="e">
        <f>VLOOKUP('[1]tblclients (1)'!A204,[1]Feuil1!$A$1:$G$203,4,0)</f>
        <v>#N/A</v>
      </c>
      <c r="E204" t="s">
        <v>1455</v>
      </c>
      <c r="F204" t="s">
        <v>1408</v>
      </c>
      <c r="G204" t="s">
        <v>1461</v>
      </c>
      <c r="H204" t="s">
        <v>1462</v>
      </c>
      <c r="I204" t="s">
        <v>1459</v>
      </c>
      <c r="J204" t="s">
        <v>676</v>
      </c>
      <c r="K204" t="s">
        <v>677</v>
      </c>
      <c r="L204" t="s">
        <v>1463</v>
      </c>
      <c r="M204" t="s">
        <v>1464</v>
      </c>
      <c r="N204">
        <v>12</v>
      </c>
      <c r="O204" t="s">
        <v>687</v>
      </c>
      <c r="P204" t="s">
        <v>1465</v>
      </c>
      <c r="Q204" s="2">
        <v>1000000</v>
      </c>
      <c r="R204" t="s">
        <v>1460</v>
      </c>
      <c r="S204">
        <v>505714618</v>
      </c>
      <c r="T204">
        <v>54</v>
      </c>
      <c r="U204" t="s">
        <v>1416</v>
      </c>
      <c r="V204" t="s">
        <v>1457</v>
      </c>
      <c r="W204" t="s">
        <v>1458</v>
      </c>
      <c r="X204" t="s">
        <v>1456</v>
      </c>
      <c r="Z204" s="1">
        <v>45315</v>
      </c>
      <c r="AA204">
        <v>1</v>
      </c>
    </row>
    <row r="205" spans="1:27">
      <c r="A205" t="s">
        <v>298</v>
      </c>
      <c r="B205">
        <v>206</v>
      </c>
      <c r="C205" t="s">
        <v>2200</v>
      </c>
      <c r="D205" t="e">
        <f>VLOOKUP('[1]tblclients (1)'!A205,[1]Feuil1!$A$1:$G$203,4,0)</f>
        <v>#N/A</v>
      </c>
      <c r="E205" t="s">
        <v>2201</v>
      </c>
      <c r="F205" t="s">
        <v>1440</v>
      </c>
      <c r="G205" t="s">
        <v>1468</v>
      </c>
      <c r="H205" t="s">
        <v>1469</v>
      </c>
      <c r="I205" t="s">
        <v>1467</v>
      </c>
      <c r="J205" t="s">
        <v>704</v>
      </c>
      <c r="K205" t="s">
        <v>677</v>
      </c>
      <c r="L205" t="s">
        <v>1470</v>
      </c>
      <c r="M205" t="s">
        <v>1471</v>
      </c>
      <c r="N205">
        <v>26</v>
      </c>
      <c r="P205" t="s">
        <v>1472</v>
      </c>
      <c r="Q205">
        <v>1000000</v>
      </c>
      <c r="S205">
        <v>759999163</v>
      </c>
      <c r="T205">
        <v>54</v>
      </c>
      <c r="U205" t="s">
        <v>1416</v>
      </c>
      <c r="X205" t="s">
        <v>1466</v>
      </c>
      <c r="Z205" s="1">
        <v>45315</v>
      </c>
      <c r="AA205">
        <v>1</v>
      </c>
    </row>
    <row r="206" spans="1:27">
      <c r="A206" t="s">
        <v>54</v>
      </c>
      <c r="B206">
        <v>207</v>
      </c>
      <c r="C206" t="s">
        <v>55</v>
      </c>
      <c r="D206" t="str">
        <f>VLOOKUP('[1]tblclients (1)'!A206,[1]Feuil1!$A$1:$G$203,4,0)</f>
        <v>Abdoulaye</v>
      </c>
      <c r="E206" t="s">
        <v>2202</v>
      </c>
      <c r="F206" t="s">
        <v>1440</v>
      </c>
      <c r="G206" t="s">
        <v>1475</v>
      </c>
      <c r="H206" t="s">
        <v>1476</v>
      </c>
      <c r="I206" t="s">
        <v>1474</v>
      </c>
      <c r="J206" t="s">
        <v>676</v>
      </c>
      <c r="K206" t="s">
        <v>677</v>
      </c>
      <c r="L206" t="s">
        <v>1477</v>
      </c>
      <c r="O206" t="s">
        <v>942</v>
      </c>
      <c r="P206" t="s">
        <v>1478</v>
      </c>
      <c r="Q206" s="2">
        <v>1000000</v>
      </c>
      <c r="S206">
        <v>708537463</v>
      </c>
      <c r="T206">
        <v>54</v>
      </c>
      <c r="U206" t="s">
        <v>1416</v>
      </c>
      <c r="X206" t="s">
        <v>1473</v>
      </c>
      <c r="Z206" s="1">
        <v>45315</v>
      </c>
      <c r="AA206">
        <v>1</v>
      </c>
    </row>
    <row r="207" spans="1:27">
      <c r="A207" t="s">
        <v>50</v>
      </c>
      <c r="B207">
        <v>208</v>
      </c>
      <c r="C207" t="s">
        <v>1479</v>
      </c>
      <c r="D207" t="str">
        <f>VLOOKUP('[1]tblclients (1)'!A207,[1]Feuil1!$A$1:$G$203,4,0)</f>
        <v>MARIAME</v>
      </c>
      <c r="E207" t="s">
        <v>51</v>
      </c>
      <c r="F207" t="s">
        <v>1408</v>
      </c>
      <c r="G207" t="s">
        <v>1482</v>
      </c>
      <c r="H207" t="s">
        <v>1483</v>
      </c>
      <c r="I207" t="s">
        <v>1481</v>
      </c>
      <c r="J207" t="s">
        <v>676</v>
      </c>
      <c r="K207" t="s">
        <v>677</v>
      </c>
      <c r="L207" t="s">
        <v>1484</v>
      </c>
      <c r="M207" t="s">
        <v>1485</v>
      </c>
      <c r="N207">
        <v>201</v>
      </c>
      <c r="O207" t="s">
        <v>687</v>
      </c>
      <c r="P207" t="s">
        <v>1486</v>
      </c>
      <c r="Q207" s="2">
        <v>1000000</v>
      </c>
      <c r="S207">
        <v>709899557</v>
      </c>
      <c r="T207">
        <v>54</v>
      </c>
      <c r="U207" t="s">
        <v>1111</v>
      </c>
      <c r="X207" t="s">
        <v>1480</v>
      </c>
      <c r="Z207" s="1">
        <v>45315</v>
      </c>
      <c r="AA207">
        <v>1</v>
      </c>
    </row>
    <row r="208" spans="1:27">
      <c r="A208" t="s">
        <v>330</v>
      </c>
      <c r="B208">
        <v>209</v>
      </c>
      <c r="C208" t="s">
        <v>2203</v>
      </c>
      <c r="D208" t="str">
        <f>VLOOKUP('[1]tblclients (1)'!A208,[1]Feuil1!$A$1:$G$203,4,0)</f>
        <v xml:space="preserve"> N'GOLO KASSOUM</v>
      </c>
      <c r="E208" t="s">
        <v>2192</v>
      </c>
      <c r="F208" t="s">
        <v>1440</v>
      </c>
      <c r="G208" t="s">
        <v>2204</v>
      </c>
      <c r="H208" t="s">
        <v>2205</v>
      </c>
      <c r="I208" t="s">
        <v>1489</v>
      </c>
      <c r="J208" t="s">
        <v>704</v>
      </c>
      <c r="K208" t="s">
        <v>677</v>
      </c>
      <c r="L208" t="s">
        <v>2206</v>
      </c>
      <c r="M208" t="s">
        <v>1438</v>
      </c>
      <c r="N208">
        <v>23</v>
      </c>
      <c r="O208" t="s">
        <v>687</v>
      </c>
      <c r="Q208">
        <v>1000000</v>
      </c>
      <c r="S208">
        <v>708509238</v>
      </c>
      <c r="T208">
        <v>54</v>
      </c>
      <c r="U208" t="s">
        <v>1416</v>
      </c>
      <c r="V208" t="s">
        <v>1487</v>
      </c>
      <c r="W208" t="s">
        <v>1488</v>
      </c>
      <c r="X208" t="s">
        <v>1435</v>
      </c>
      <c r="Z208" s="1">
        <v>45315</v>
      </c>
      <c r="AA208">
        <v>1</v>
      </c>
    </row>
    <row r="209" spans="1:27">
      <c r="A209" t="s">
        <v>60</v>
      </c>
      <c r="B209">
        <v>210</v>
      </c>
      <c r="C209" t="s">
        <v>61</v>
      </c>
      <c r="D209" t="e">
        <f>VLOOKUP('[1]tblclients (1)'!A209,[1]Feuil1!$A$1:$G$203,4,0)</f>
        <v>#N/A</v>
      </c>
      <c r="E209" t="s">
        <v>2207</v>
      </c>
      <c r="F209" t="s">
        <v>882</v>
      </c>
      <c r="G209" t="s">
        <v>1494</v>
      </c>
      <c r="H209" t="s">
        <v>1495</v>
      </c>
      <c r="I209" t="s">
        <v>1493</v>
      </c>
      <c r="J209" t="s">
        <v>704</v>
      </c>
      <c r="K209" t="s">
        <v>677</v>
      </c>
      <c r="L209" t="s">
        <v>1496</v>
      </c>
      <c r="O209" t="s">
        <v>750</v>
      </c>
      <c r="Q209">
        <v>1000000</v>
      </c>
      <c r="S209">
        <v>707999183</v>
      </c>
      <c r="T209">
        <v>54</v>
      </c>
      <c r="U209" t="s">
        <v>1111</v>
      </c>
      <c r="V209" t="s">
        <v>1492</v>
      </c>
      <c r="X209" t="s">
        <v>1491</v>
      </c>
      <c r="Z209" s="1">
        <v>45316</v>
      </c>
      <c r="AA209">
        <v>1</v>
      </c>
    </row>
    <row r="210" spans="1:27">
      <c r="A210" t="s">
        <v>42</v>
      </c>
      <c r="B210">
        <v>211</v>
      </c>
      <c r="C210" t="s">
        <v>43</v>
      </c>
      <c r="D210" t="e">
        <f>VLOOKUP('[1]tblclients (1)'!A210,[1]Feuil1!$A$1:$G$203,4,0)</f>
        <v>#N/A</v>
      </c>
      <c r="E210" t="s">
        <v>2208</v>
      </c>
      <c r="F210" t="s">
        <v>882</v>
      </c>
      <c r="G210" t="s">
        <v>1500</v>
      </c>
      <c r="H210" t="s">
        <v>1501</v>
      </c>
      <c r="I210" t="s">
        <v>1499</v>
      </c>
      <c r="J210" t="s">
        <v>704</v>
      </c>
      <c r="K210" t="s">
        <v>677</v>
      </c>
      <c r="L210" t="s">
        <v>1502</v>
      </c>
      <c r="O210" t="s">
        <v>742</v>
      </c>
      <c r="Q210">
        <v>1000000</v>
      </c>
      <c r="S210">
        <v>757263143</v>
      </c>
      <c r="T210">
        <v>54</v>
      </c>
      <c r="U210" t="s">
        <v>1111</v>
      </c>
      <c r="V210" t="s">
        <v>1498</v>
      </c>
      <c r="X210" t="s">
        <v>1497</v>
      </c>
      <c r="Z210" s="1">
        <v>45316</v>
      </c>
      <c r="AA210">
        <v>1</v>
      </c>
    </row>
    <row r="211" spans="1:27">
      <c r="A211" t="s">
        <v>1507</v>
      </c>
      <c r="B211">
        <v>212</v>
      </c>
      <c r="C211" t="s">
        <v>1503</v>
      </c>
      <c r="D211" t="e">
        <f>VLOOKUP('[1]tblclients (1)'!A211,[1]Feuil1!$A$1:$G$203,4,0)</f>
        <v>#N/A</v>
      </c>
      <c r="E211" t="s">
        <v>2209</v>
      </c>
      <c r="F211" t="s">
        <v>882</v>
      </c>
      <c r="G211" t="s">
        <v>1508</v>
      </c>
      <c r="H211" t="s">
        <v>1509</v>
      </c>
      <c r="I211" t="s">
        <v>1506</v>
      </c>
      <c r="J211" t="s">
        <v>704</v>
      </c>
      <c r="K211" t="s">
        <v>677</v>
      </c>
      <c r="L211" t="s">
        <v>1510</v>
      </c>
      <c r="O211" t="s">
        <v>687</v>
      </c>
      <c r="Q211">
        <v>1000000</v>
      </c>
      <c r="S211">
        <v>708956505</v>
      </c>
      <c r="T211">
        <v>54</v>
      </c>
      <c r="U211" t="s">
        <v>1111</v>
      </c>
      <c r="V211" t="s">
        <v>1505</v>
      </c>
      <c r="X211" t="s">
        <v>1504</v>
      </c>
      <c r="Z211" s="1">
        <v>45316</v>
      </c>
      <c r="AA211">
        <v>1</v>
      </c>
    </row>
    <row r="212" spans="1:27">
      <c r="A212" t="s">
        <v>36</v>
      </c>
      <c r="B212">
        <v>213</v>
      </c>
      <c r="C212" t="s">
        <v>37</v>
      </c>
      <c r="D212" t="e">
        <f>VLOOKUP('[1]tblclients (1)'!A212,[1]Feuil1!$A$1:$G$203,4,0)</f>
        <v>#N/A</v>
      </c>
      <c r="E212" t="s">
        <v>2210</v>
      </c>
      <c r="F212" t="s">
        <v>882</v>
      </c>
      <c r="G212" t="s">
        <v>1513</v>
      </c>
      <c r="H212" t="s">
        <v>1514</v>
      </c>
      <c r="I212" t="s">
        <v>1512</v>
      </c>
      <c r="J212" t="s">
        <v>704</v>
      </c>
      <c r="K212" t="s">
        <v>677</v>
      </c>
      <c r="L212" t="s">
        <v>2211</v>
      </c>
      <c r="O212" t="s">
        <v>942</v>
      </c>
      <c r="Q212">
        <v>1000000</v>
      </c>
      <c r="S212">
        <v>768151168</v>
      </c>
      <c r="T212">
        <v>54</v>
      </c>
      <c r="U212" t="s">
        <v>959</v>
      </c>
      <c r="V212" t="s">
        <v>1511</v>
      </c>
      <c r="X212" t="s">
        <v>959</v>
      </c>
      <c r="Z212" s="1">
        <v>45316</v>
      </c>
      <c r="AA212">
        <v>1</v>
      </c>
    </row>
    <row r="213" spans="1:27">
      <c r="A213" t="s">
        <v>1517</v>
      </c>
      <c r="B213">
        <v>214</v>
      </c>
      <c r="C213" t="s">
        <v>1515</v>
      </c>
      <c r="D213" t="e">
        <f>VLOOKUP('[1]tblclients (1)'!A213,[1]Feuil1!$A$1:$G$203,4,0)</f>
        <v>#N/A</v>
      </c>
      <c r="G213" t="s">
        <v>1518</v>
      </c>
      <c r="H213" t="s">
        <v>1519</v>
      </c>
      <c r="I213" t="s">
        <v>1218</v>
      </c>
      <c r="J213" t="s">
        <v>704</v>
      </c>
      <c r="K213" t="s">
        <v>677</v>
      </c>
      <c r="L213" t="s">
        <v>1520</v>
      </c>
      <c r="O213" t="s">
        <v>705</v>
      </c>
      <c r="Q213">
        <v>1000000</v>
      </c>
      <c r="S213">
        <v>788881313</v>
      </c>
      <c r="T213">
        <v>54</v>
      </c>
      <c r="U213" t="s">
        <v>1111</v>
      </c>
      <c r="X213" t="s">
        <v>1516</v>
      </c>
      <c r="Z213" s="1">
        <v>45316</v>
      </c>
      <c r="AA213">
        <v>1</v>
      </c>
    </row>
    <row r="214" spans="1:27">
      <c r="A214" t="s">
        <v>197</v>
      </c>
      <c r="B214">
        <v>215</v>
      </c>
      <c r="C214" t="s">
        <v>198</v>
      </c>
      <c r="D214" t="e">
        <f>VLOOKUP('[1]tblclients (1)'!A214,[1]Feuil1!$A$1:$G$203,4,0)</f>
        <v>#N/A</v>
      </c>
      <c r="E214" t="s">
        <v>2212</v>
      </c>
      <c r="F214" t="s">
        <v>882</v>
      </c>
      <c r="G214" t="s">
        <v>1523</v>
      </c>
      <c r="H214" t="s">
        <v>1524</v>
      </c>
      <c r="I214" t="s">
        <v>1522</v>
      </c>
      <c r="J214" t="s">
        <v>704</v>
      </c>
      <c r="K214" t="s">
        <v>677</v>
      </c>
      <c r="L214" t="s">
        <v>1525</v>
      </c>
      <c r="M214" t="s">
        <v>681</v>
      </c>
      <c r="N214" t="s">
        <v>681</v>
      </c>
      <c r="O214" t="s">
        <v>1222</v>
      </c>
      <c r="P214" t="s">
        <v>681</v>
      </c>
      <c r="Q214">
        <v>1000000</v>
      </c>
      <c r="R214" t="s">
        <v>681</v>
      </c>
      <c r="S214">
        <v>758963212</v>
      </c>
      <c r="T214">
        <v>54</v>
      </c>
      <c r="U214" t="s">
        <v>1111</v>
      </c>
      <c r="W214" t="s">
        <v>681</v>
      </c>
      <c r="X214" t="s">
        <v>2213</v>
      </c>
      <c r="Y214" t="s">
        <v>681</v>
      </c>
      <c r="Z214" s="1">
        <v>45316</v>
      </c>
      <c r="AA214">
        <v>1</v>
      </c>
    </row>
    <row r="215" spans="1:27">
      <c r="A215" t="s">
        <v>175</v>
      </c>
      <c r="B215">
        <v>216</v>
      </c>
      <c r="C215" t="s">
        <v>176</v>
      </c>
      <c r="D215" t="e">
        <f>VLOOKUP('[1]tblclients (1)'!A215,[1]Feuil1!$A$1:$G$203,4,0)</f>
        <v>#N/A</v>
      </c>
      <c r="E215" t="s">
        <v>2214</v>
      </c>
      <c r="F215" t="s">
        <v>882</v>
      </c>
      <c r="G215" t="s">
        <v>1529</v>
      </c>
      <c r="H215" t="s">
        <v>1530</v>
      </c>
      <c r="I215" t="s">
        <v>1528</v>
      </c>
      <c r="J215" t="s">
        <v>704</v>
      </c>
      <c r="K215" t="s">
        <v>677</v>
      </c>
      <c r="L215" t="s">
        <v>1531</v>
      </c>
      <c r="O215" t="s">
        <v>1222</v>
      </c>
      <c r="Q215">
        <v>1000000</v>
      </c>
      <c r="S215">
        <v>779241124</v>
      </c>
      <c r="T215">
        <v>54</v>
      </c>
      <c r="U215" t="s">
        <v>1527</v>
      </c>
      <c r="V215" t="s">
        <v>1526</v>
      </c>
      <c r="X215" t="s">
        <v>2215</v>
      </c>
      <c r="Z215" s="1">
        <v>45316</v>
      </c>
      <c r="AA215">
        <v>1</v>
      </c>
    </row>
    <row r="216" spans="1:27">
      <c r="A216" t="s">
        <v>1535</v>
      </c>
      <c r="B216">
        <v>217</v>
      </c>
      <c r="C216" t="s">
        <v>1532</v>
      </c>
      <c r="D216" t="e">
        <f>VLOOKUP('[1]tblclients (1)'!A216,[1]Feuil1!$A$1:$G$203,4,0)</f>
        <v>#N/A</v>
      </c>
      <c r="E216" t="s">
        <v>2216</v>
      </c>
      <c r="F216" t="s">
        <v>882</v>
      </c>
      <c r="G216" t="s">
        <v>1536</v>
      </c>
      <c r="H216" t="s">
        <v>1537</v>
      </c>
      <c r="I216" t="s">
        <v>1534</v>
      </c>
      <c r="J216" t="s">
        <v>704</v>
      </c>
      <c r="K216" t="s">
        <v>677</v>
      </c>
      <c r="L216" t="s">
        <v>1538</v>
      </c>
      <c r="O216" t="s">
        <v>834</v>
      </c>
      <c r="Q216" s="2">
        <v>1000000</v>
      </c>
      <c r="S216">
        <v>747629161</v>
      </c>
      <c r="T216">
        <v>54</v>
      </c>
      <c r="U216" t="s">
        <v>1111</v>
      </c>
      <c r="X216" t="s">
        <v>1533</v>
      </c>
      <c r="Z216" s="1">
        <v>45316</v>
      </c>
      <c r="AA216">
        <v>1</v>
      </c>
    </row>
    <row r="217" spans="1:27">
      <c r="A217" t="s">
        <v>213</v>
      </c>
      <c r="B217">
        <v>218</v>
      </c>
      <c r="C217" t="s">
        <v>1539</v>
      </c>
      <c r="D217" t="e">
        <f>VLOOKUP('[1]tblclients (1)'!A217,[1]Feuil1!$A$1:$G$203,4,0)</f>
        <v>#N/A</v>
      </c>
      <c r="E217" t="s">
        <v>2217</v>
      </c>
      <c r="F217" t="s">
        <v>882</v>
      </c>
      <c r="G217" t="s">
        <v>1542</v>
      </c>
      <c r="H217" t="s">
        <v>1543</v>
      </c>
      <c r="I217" t="s">
        <v>1541</v>
      </c>
      <c r="J217" t="s">
        <v>704</v>
      </c>
      <c r="K217" t="s">
        <v>677</v>
      </c>
      <c r="L217" t="s">
        <v>1544</v>
      </c>
      <c r="M217" t="s">
        <v>681</v>
      </c>
      <c r="N217" t="s">
        <v>681</v>
      </c>
      <c r="O217" t="s">
        <v>834</v>
      </c>
      <c r="P217" t="s">
        <v>681</v>
      </c>
      <c r="Q217">
        <v>1000000</v>
      </c>
      <c r="R217" t="s">
        <v>1381</v>
      </c>
      <c r="S217">
        <v>596125351</v>
      </c>
      <c r="T217">
        <v>54</v>
      </c>
      <c r="U217" t="s">
        <v>1111</v>
      </c>
      <c r="W217" t="s">
        <v>681</v>
      </c>
      <c r="X217" t="s">
        <v>1540</v>
      </c>
      <c r="Y217" t="s">
        <v>681</v>
      </c>
      <c r="Z217" s="1">
        <v>45316</v>
      </c>
      <c r="AA217">
        <v>1</v>
      </c>
    </row>
    <row r="218" spans="1:27">
      <c r="A218" t="s">
        <v>279</v>
      </c>
      <c r="B218">
        <v>219</v>
      </c>
      <c r="C218" t="s">
        <v>280</v>
      </c>
      <c r="D218" t="e">
        <f>VLOOKUP('[1]tblclients (1)'!A218,[1]Feuil1!$A$1:$G$203,4,0)</f>
        <v>#N/A</v>
      </c>
      <c r="E218" t="s">
        <v>2218</v>
      </c>
      <c r="F218" t="s">
        <v>1361</v>
      </c>
      <c r="G218" t="s">
        <v>1548</v>
      </c>
      <c r="H218" t="s">
        <v>1549</v>
      </c>
      <c r="I218" t="s">
        <v>1547</v>
      </c>
      <c r="J218" t="s">
        <v>704</v>
      </c>
      <c r="K218" t="s">
        <v>677</v>
      </c>
      <c r="L218" t="s">
        <v>1550</v>
      </c>
      <c r="O218" t="s">
        <v>692</v>
      </c>
      <c r="P218" t="s">
        <v>1551</v>
      </c>
      <c r="Q218">
        <v>10000000</v>
      </c>
      <c r="S218">
        <v>748480154</v>
      </c>
      <c r="T218">
        <v>54</v>
      </c>
      <c r="U218" t="s">
        <v>1111</v>
      </c>
      <c r="V218" t="s">
        <v>1546</v>
      </c>
      <c r="X218" t="s">
        <v>1545</v>
      </c>
      <c r="Z218" s="1">
        <v>45316</v>
      </c>
      <c r="AA218">
        <v>1</v>
      </c>
    </row>
    <row r="219" spans="1:27">
      <c r="A219" t="s">
        <v>277</v>
      </c>
      <c r="B219">
        <v>220</v>
      </c>
      <c r="C219" t="s">
        <v>278</v>
      </c>
      <c r="D219" t="e">
        <f>VLOOKUP('[1]tblclients (1)'!A219,[1]Feuil1!$A$1:$G$203,4,0)</f>
        <v>#N/A</v>
      </c>
      <c r="E219" t="s">
        <v>278</v>
      </c>
      <c r="F219" t="s">
        <v>724</v>
      </c>
      <c r="G219" t="s">
        <v>1553</v>
      </c>
      <c r="H219" t="s">
        <v>1554</v>
      </c>
      <c r="I219" t="s">
        <v>1552</v>
      </c>
      <c r="J219" t="s">
        <v>676</v>
      </c>
      <c r="K219" t="s">
        <v>677</v>
      </c>
      <c r="L219" t="s">
        <v>1496</v>
      </c>
      <c r="O219" t="s">
        <v>750</v>
      </c>
      <c r="S219">
        <v>788881313</v>
      </c>
      <c r="T219">
        <v>54</v>
      </c>
      <c r="U219" t="s">
        <v>1111</v>
      </c>
      <c r="X219" t="s">
        <v>872</v>
      </c>
      <c r="Z219" s="1">
        <v>45316</v>
      </c>
      <c r="AA219">
        <v>1</v>
      </c>
    </row>
    <row r="220" spans="1:27">
      <c r="A220" t="s">
        <v>1558</v>
      </c>
      <c r="B220">
        <v>221</v>
      </c>
      <c r="C220" t="s">
        <v>1555</v>
      </c>
      <c r="D220" t="e">
        <f>VLOOKUP('[1]tblclients (1)'!A220,[1]Feuil1!$A$1:$G$203,4,0)</f>
        <v>#N/A</v>
      </c>
      <c r="G220" t="s">
        <v>1559</v>
      </c>
      <c r="H220" t="s">
        <v>1560</v>
      </c>
      <c r="I220" t="s">
        <v>1557</v>
      </c>
      <c r="J220" t="s">
        <v>704</v>
      </c>
      <c r="K220" t="s">
        <v>677</v>
      </c>
      <c r="L220" t="s">
        <v>1561</v>
      </c>
      <c r="O220" t="s">
        <v>692</v>
      </c>
      <c r="Q220">
        <v>1000000</v>
      </c>
      <c r="S220">
        <v>788881313</v>
      </c>
      <c r="T220">
        <v>54</v>
      </c>
      <c r="U220" t="s">
        <v>1111</v>
      </c>
      <c r="X220" t="s">
        <v>1556</v>
      </c>
      <c r="Z220" s="1">
        <v>45316</v>
      </c>
      <c r="AA220">
        <v>1</v>
      </c>
    </row>
    <row r="221" spans="1:27">
      <c r="A221" t="s">
        <v>235</v>
      </c>
      <c r="B221">
        <v>222</v>
      </c>
      <c r="C221" t="s">
        <v>236</v>
      </c>
      <c r="D221" t="e">
        <f>VLOOKUP('[1]tblclients (1)'!A221,[1]Feuil1!$A$1:$G$203,4,0)</f>
        <v>#N/A</v>
      </c>
      <c r="E221" t="s">
        <v>2219</v>
      </c>
      <c r="F221" t="s">
        <v>1361</v>
      </c>
      <c r="G221" t="s">
        <v>1564</v>
      </c>
      <c r="H221" t="s">
        <v>1565</v>
      </c>
      <c r="I221" t="s">
        <v>1563</v>
      </c>
      <c r="J221" t="s">
        <v>704</v>
      </c>
      <c r="K221" t="s">
        <v>677</v>
      </c>
      <c r="L221" t="s">
        <v>1566</v>
      </c>
      <c r="O221" t="s">
        <v>692</v>
      </c>
      <c r="Q221">
        <v>1000000</v>
      </c>
      <c r="S221">
        <v>707428750</v>
      </c>
      <c r="T221">
        <v>54</v>
      </c>
      <c r="U221" t="s">
        <v>1111</v>
      </c>
      <c r="X221" t="s">
        <v>1562</v>
      </c>
      <c r="Z221" s="1">
        <v>45316</v>
      </c>
      <c r="AA221">
        <v>1</v>
      </c>
    </row>
    <row r="222" spans="1:27">
      <c r="A222" t="s">
        <v>344</v>
      </c>
      <c r="B222">
        <v>223</v>
      </c>
      <c r="C222" t="s">
        <v>1567</v>
      </c>
      <c r="D222" t="e">
        <f>VLOOKUP('[1]tblclients (1)'!A222,[1]Feuil1!$A$1:$G$203,4,0)</f>
        <v>#N/A</v>
      </c>
      <c r="E222" t="s">
        <v>2220</v>
      </c>
      <c r="F222" t="s">
        <v>882</v>
      </c>
      <c r="G222" t="s">
        <v>1571</v>
      </c>
      <c r="H222" t="s">
        <v>1572</v>
      </c>
      <c r="I222" t="s">
        <v>1570</v>
      </c>
      <c r="J222" t="s">
        <v>704</v>
      </c>
      <c r="K222" t="s">
        <v>677</v>
      </c>
      <c r="L222" t="s">
        <v>1573</v>
      </c>
      <c r="M222" t="s">
        <v>681</v>
      </c>
      <c r="N222" t="s">
        <v>681</v>
      </c>
      <c r="O222" t="s">
        <v>942</v>
      </c>
      <c r="P222" t="s">
        <v>681</v>
      </c>
      <c r="Q222" s="2">
        <v>1000000</v>
      </c>
      <c r="R222" t="s">
        <v>681</v>
      </c>
      <c r="S222">
        <v>788881313</v>
      </c>
      <c r="T222">
        <v>54</v>
      </c>
      <c r="U222" t="s">
        <v>959</v>
      </c>
      <c r="V222" t="s">
        <v>1569</v>
      </c>
      <c r="W222" t="s">
        <v>681</v>
      </c>
      <c r="X222" t="s">
        <v>1568</v>
      </c>
      <c r="Y222" t="s">
        <v>681</v>
      </c>
      <c r="Z222" s="1">
        <v>45316</v>
      </c>
      <c r="AA222">
        <v>1</v>
      </c>
    </row>
    <row r="223" spans="1:27">
      <c r="A223" t="s">
        <v>380</v>
      </c>
      <c r="B223">
        <v>224</v>
      </c>
      <c r="C223" t="s">
        <v>381</v>
      </c>
      <c r="D223" t="e">
        <f>VLOOKUP('[1]tblclients (1)'!A223,[1]Feuil1!$A$1:$G$203,4,0)</f>
        <v>#N/A</v>
      </c>
      <c r="E223" t="s">
        <v>2221</v>
      </c>
      <c r="F223" t="s">
        <v>1361</v>
      </c>
      <c r="G223" t="s">
        <v>1576</v>
      </c>
      <c r="H223" t="s">
        <v>1577</v>
      </c>
      <c r="I223" t="s">
        <v>1575</v>
      </c>
      <c r="J223" t="s">
        <v>704</v>
      </c>
      <c r="K223" t="s">
        <v>677</v>
      </c>
      <c r="L223" t="s">
        <v>1578</v>
      </c>
      <c r="M223" t="s">
        <v>681</v>
      </c>
      <c r="N223" t="s">
        <v>681</v>
      </c>
      <c r="O223" t="s">
        <v>746</v>
      </c>
      <c r="P223" t="s">
        <v>681</v>
      </c>
      <c r="Q223">
        <v>1000000</v>
      </c>
      <c r="S223">
        <v>788881313</v>
      </c>
      <c r="T223">
        <v>54</v>
      </c>
      <c r="U223" t="s">
        <v>1111</v>
      </c>
      <c r="X223" t="s">
        <v>1574</v>
      </c>
      <c r="Z223" s="1">
        <v>45316</v>
      </c>
      <c r="AA223">
        <v>1</v>
      </c>
    </row>
    <row r="224" spans="1:27">
      <c r="A224" t="s">
        <v>602</v>
      </c>
      <c r="B224">
        <v>226</v>
      </c>
      <c r="C224" t="s">
        <v>603</v>
      </c>
      <c r="D224" t="e">
        <f>VLOOKUP('[1]tblclients (1)'!A224,[1]Feuil1!$A$1:$G$203,4,0)</f>
        <v>#N/A</v>
      </c>
      <c r="E224" t="s">
        <v>2222</v>
      </c>
      <c r="F224" t="s">
        <v>2127</v>
      </c>
      <c r="G224" t="s">
        <v>1582</v>
      </c>
      <c r="H224" t="s">
        <v>1583</v>
      </c>
      <c r="I224" t="s">
        <v>1581</v>
      </c>
      <c r="J224" t="s">
        <v>704</v>
      </c>
      <c r="K224" t="s">
        <v>677</v>
      </c>
      <c r="L224" t="s">
        <v>1584</v>
      </c>
      <c r="M224" t="s">
        <v>681</v>
      </c>
      <c r="N224" t="s">
        <v>681</v>
      </c>
      <c r="O224" t="s">
        <v>750</v>
      </c>
      <c r="P224" t="s">
        <v>1585</v>
      </c>
      <c r="Q224">
        <v>1000000</v>
      </c>
      <c r="R224" t="s">
        <v>681</v>
      </c>
      <c r="S224">
        <v>707719065</v>
      </c>
      <c r="T224">
        <v>54</v>
      </c>
      <c r="U224" t="s">
        <v>1111</v>
      </c>
      <c r="V224" t="s">
        <v>1580</v>
      </c>
      <c r="W224" t="s">
        <v>681</v>
      </c>
      <c r="X224" t="s">
        <v>1579</v>
      </c>
      <c r="Y224" t="s">
        <v>681</v>
      </c>
      <c r="Z224" s="1">
        <v>44942</v>
      </c>
      <c r="AA224">
        <v>1</v>
      </c>
    </row>
    <row r="225" spans="1:27">
      <c r="A225" t="s">
        <v>1589</v>
      </c>
      <c r="B225">
        <v>227</v>
      </c>
      <c r="C225" t="s">
        <v>1586</v>
      </c>
      <c r="D225" t="e">
        <f>VLOOKUP('[1]tblclients (1)'!A225,[1]Feuil1!$A$1:$G$203,4,0)</f>
        <v>#N/A</v>
      </c>
      <c r="E225" t="s">
        <v>2223</v>
      </c>
      <c r="F225" t="s">
        <v>2224</v>
      </c>
      <c r="G225" t="s">
        <v>1590</v>
      </c>
      <c r="H225" t="s">
        <v>1591</v>
      </c>
      <c r="I225" t="s">
        <v>1588</v>
      </c>
      <c r="J225" t="s">
        <v>676</v>
      </c>
      <c r="K225" t="s">
        <v>677</v>
      </c>
      <c r="L225" t="s">
        <v>1592</v>
      </c>
      <c r="O225" t="s">
        <v>942</v>
      </c>
      <c r="P225" t="s">
        <v>1593</v>
      </c>
      <c r="Q225" t="s">
        <v>681</v>
      </c>
      <c r="S225" t="s">
        <v>2225</v>
      </c>
      <c r="T225">
        <v>54</v>
      </c>
      <c r="U225" t="s">
        <v>942</v>
      </c>
      <c r="W225" t="s">
        <v>1587</v>
      </c>
      <c r="X225" t="s">
        <v>2226</v>
      </c>
      <c r="Z225" s="1">
        <v>45316</v>
      </c>
      <c r="AA225">
        <v>1</v>
      </c>
    </row>
    <row r="226" spans="1:27">
      <c r="A226" t="s">
        <v>364</v>
      </c>
      <c r="B226">
        <v>230</v>
      </c>
      <c r="C226" t="s">
        <v>1594</v>
      </c>
      <c r="D226" t="e">
        <f>VLOOKUP('[1]tblclients (1)'!A226,[1]Feuil1!$A$1:$G$203,4,0)</f>
        <v>#N/A</v>
      </c>
      <c r="E226" t="s">
        <v>1822</v>
      </c>
      <c r="G226" t="s">
        <v>1597</v>
      </c>
      <c r="H226" t="s">
        <v>1598</v>
      </c>
      <c r="I226" t="s">
        <v>1353</v>
      </c>
      <c r="J226" t="s">
        <v>704</v>
      </c>
      <c r="K226" t="s">
        <v>677</v>
      </c>
      <c r="L226" t="s">
        <v>1599</v>
      </c>
      <c r="O226" t="s">
        <v>942</v>
      </c>
      <c r="P226" t="s">
        <v>1600</v>
      </c>
      <c r="Q226">
        <v>2000000</v>
      </c>
      <c r="S226">
        <v>707812605</v>
      </c>
      <c r="T226">
        <v>54</v>
      </c>
      <c r="U226" t="s">
        <v>1111</v>
      </c>
      <c r="V226" t="s">
        <v>1596</v>
      </c>
      <c r="X226" t="s">
        <v>1595</v>
      </c>
      <c r="Z226" s="1">
        <v>45317</v>
      </c>
      <c r="AA226">
        <v>1</v>
      </c>
    </row>
    <row r="227" spans="1:27">
      <c r="A227" t="s">
        <v>612</v>
      </c>
      <c r="B227">
        <v>231</v>
      </c>
      <c r="C227" t="s">
        <v>613</v>
      </c>
      <c r="D227" t="e">
        <f>VLOOKUP('[1]tblclients (1)'!A227,[1]Feuil1!$A$1:$G$203,4,0)</f>
        <v>#N/A</v>
      </c>
      <c r="E227" t="s">
        <v>2227</v>
      </c>
      <c r="F227" t="s">
        <v>2127</v>
      </c>
      <c r="G227" t="s">
        <v>1604</v>
      </c>
      <c r="H227" t="s">
        <v>1605</v>
      </c>
      <c r="I227" t="s">
        <v>1603</v>
      </c>
      <c r="J227" t="s">
        <v>704</v>
      </c>
      <c r="K227" t="s">
        <v>712</v>
      </c>
      <c r="L227" t="s">
        <v>1606</v>
      </c>
      <c r="M227" t="s">
        <v>681</v>
      </c>
      <c r="N227" t="s">
        <v>681</v>
      </c>
      <c r="O227" t="s">
        <v>1222</v>
      </c>
      <c r="P227" t="s">
        <v>681</v>
      </c>
      <c r="Q227">
        <v>50000001</v>
      </c>
      <c r="S227">
        <v>788881313</v>
      </c>
      <c r="T227">
        <v>54</v>
      </c>
      <c r="U227" t="s">
        <v>1111</v>
      </c>
      <c r="V227" t="s">
        <v>1602</v>
      </c>
      <c r="X227" t="s">
        <v>1601</v>
      </c>
      <c r="Z227" s="1">
        <v>45317</v>
      </c>
      <c r="AA227">
        <v>1</v>
      </c>
    </row>
    <row r="228" spans="1:27">
      <c r="A228" t="s">
        <v>406</v>
      </c>
      <c r="B228">
        <v>232</v>
      </c>
      <c r="C228" t="s">
        <v>407</v>
      </c>
      <c r="D228" t="e">
        <f>VLOOKUP('[1]tblclients (1)'!A228,[1]Feuil1!$A$1:$G$203,4,0)</f>
        <v>#N/A</v>
      </c>
      <c r="E228" t="s">
        <v>2228</v>
      </c>
      <c r="F228" t="s">
        <v>882</v>
      </c>
      <c r="G228" t="s">
        <v>1610</v>
      </c>
      <c r="H228" t="s">
        <v>1611</v>
      </c>
      <c r="I228" t="s">
        <v>1609</v>
      </c>
      <c r="J228" t="s">
        <v>704</v>
      </c>
      <c r="K228" t="s">
        <v>677</v>
      </c>
      <c r="L228" t="s">
        <v>1612</v>
      </c>
      <c r="M228" t="s">
        <v>681</v>
      </c>
      <c r="N228" t="s">
        <v>681</v>
      </c>
      <c r="O228" t="s">
        <v>746</v>
      </c>
      <c r="P228" t="s">
        <v>681</v>
      </c>
      <c r="Q228" s="2">
        <v>5000001</v>
      </c>
      <c r="S228">
        <v>160693016</v>
      </c>
      <c r="T228">
        <v>54</v>
      </c>
      <c r="U228" t="s">
        <v>1111</v>
      </c>
      <c r="V228" t="s">
        <v>1608</v>
      </c>
      <c r="X228" t="s">
        <v>1607</v>
      </c>
      <c r="Z228" s="1">
        <v>45317</v>
      </c>
      <c r="AA228">
        <v>1</v>
      </c>
    </row>
    <row r="229" spans="1:27">
      <c r="A229" t="s">
        <v>470</v>
      </c>
      <c r="B229">
        <v>233</v>
      </c>
      <c r="C229" t="s">
        <v>471</v>
      </c>
      <c r="D229" t="e">
        <f>VLOOKUP('[1]tblclients (1)'!A229,[1]Feuil1!$A$1:$G$203,4,0)</f>
        <v>#N/A</v>
      </c>
      <c r="E229" t="s">
        <v>471</v>
      </c>
      <c r="F229" t="s">
        <v>2121</v>
      </c>
      <c r="G229" t="s">
        <v>1615</v>
      </c>
      <c r="H229" t="s">
        <v>1616</v>
      </c>
      <c r="I229" t="s">
        <v>1614</v>
      </c>
      <c r="J229" t="s">
        <v>676</v>
      </c>
      <c r="K229" t="s">
        <v>677</v>
      </c>
      <c r="L229" t="s">
        <v>1617</v>
      </c>
      <c r="M229" t="s">
        <v>681</v>
      </c>
      <c r="N229" t="s">
        <v>681</v>
      </c>
      <c r="O229" t="s">
        <v>750</v>
      </c>
      <c r="P229" t="s">
        <v>681</v>
      </c>
      <c r="R229" t="s">
        <v>681</v>
      </c>
      <c r="S229">
        <v>708530425</v>
      </c>
      <c r="T229">
        <v>54</v>
      </c>
      <c r="U229" t="s">
        <v>1111</v>
      </c>
      <c r="V229" t="s">
        <v>1613</v>
      </c>
      <c r="W229" t="s">
        <v>681</v>
      </c>
      <c r="X229" t="s">
        <v>872</v>
      </c>
      <c r="Y229" t="s">
        <v>681</v>
      </c>
      <c r="Z229" s="1">
        <v>45317</v>
      </c>
      <c r="AA229">
        <v>1</v>
      </c>
    </row>
    <row r="230" spans="1:27">
      <c r="A230" t="s">
        <v>1621</v>
      </c>
      <c r="B230">
        <v>234</v>
      </c>
      <c r="C230" t="s">
        <v>1618</v>
      </c>
      <c r="D230" t="e">
        <f>VLOOKUP('[1]tblclients (1)'!A230,[1]Feuil1!$A$1:$G$203,4,0)</f>
        <v>#N/A</v>
      </c>
      <c r="E230" t="s">
        <v>2229</v>
      </c>
      <c r="G230" t="s">
        <v>1622</v>
      </c>
      <c r="H230" t="s">
        <v>1623</v>
      </c>
      <c r="I230" t="s">
        <v>1620</v>
      </c>
      <c r="J230" t="s">
        <v>704</v>
      </c>
      <c r="K230" t="s">
        <v>677</v>
      </c>
      <c r="L230" t="s">
        <v>1624</v>
      </c>
      <c r="S230">
        <v>788881313</v>
      </c>
      <c r="T230">
        <v>54</v>
      </c>
      <c r="U230" t="s">
        <v>1111</v>
      </c>
      <c r="X230" t="s">
        <v>1619</v>
      </c>
      <c r="Z230" s="1">
        <v>45317</v>
      </c>
      <c r="AA230">
        <v>1</v>
      </c>
    </row>
    <row r="231" spans="1:27">
      <c r="A231" t="s">
        <v>229</v>
      </c>
      <c r="B231">
        <v>235</v>
      </c>
      <c r="C231" t="s">
        <v>230</v>
      </c>
      <c r="D231" t="e">
        <f>VLOOKUP('[1]tblclients (1)'!A231,[1]Feuil1!$A$1:$G$203,4,0)</f>
        <v>#N/A</v>
      </c>
      <c r="E231" t="s">
        <v>2230</v>
      </c>
      <c r="F231" t="s">
        <v>882</v>
      </c>
      <c r="G231" t="s">
        <v>1629</v>
      </c>
      <c r="H231" t="s">
        <v>1630</v>
      </c>
      <c r="I231" t="s">
        <v>1627</v>
      </c>
      <c r="J231" t="s">
        <v>704</v>
      </c>
      <c r="K231" t="s">
        <v>677</v>
      </c>
      <c r="L231" t="s">
        <v>1631</v>
      </c>
      <c r="O231" t="s">
        <v>742</v>
      </c>
      <c r="Q231">
        <v>5000001</v>
      </c>
      <c r="R231" t="s">
        <v>1628</v>
      </c>
      <c r="S231">
        <v>709515587</v>
      </c>
      <c r="T231">
        <v>54</v>
      </c>
      <c r="U231" t="s">
        <v>1111</v>
      </c>
      <c r="V231" t="s">
        <v>1626</v>
      </c>
      <c r="X231" t="s">
        <v>1625</v>
      </c>
      <c r="Z231" s="1">
        <v>45317</v>
      </c>
      <c r="AA231">
        <v>1</v>
      </c>
    </row>
    <row r="232" spans="1:27">
      <c r="A232" t="s">
        <v>1636</v>
      </c>
      <c r="B232">
        <v>236</v>
      </c>
      <c r="C232" t="s">
        <v>313</v>
      </c>
      <c r="D232" t="e">
        <f>VLOOKUP('[1]tblclients (1)'!A232,[1]Feuil1!$A$1:$G$203,4,0)</f>
        <v>#N/A</v>
      </c>
      <c r="E232" t="s">
        <v>2231</v>
      </c>
      <c r="F232" t="s">
        <v>882</v>
      </c>
      <c r="G232" t="s">
        <v>2232</v>
      </c>
      <c r="H232" t="s">
        <v>2233</v>
      </c>
      <c r="I232" t="s">
        <v>1635</v>
      </c>
      <c r="J232" t="s">
        <v>704</v>
      </c>
      <c r="K232" t="s">
        <v>677</v>
      </c>
      <c r="L232" t="s">
        <v>1637</v>
      </c>
      <c r="M232" t="s">
        <v>1638</v>
      </c>
      <c r="N232">
        <v>23</v>
      </c>
      <c r="O232" t="s">
        <v>742</v>
      </c>
      <c r="P232" t="s">
        <v>1639</v>
      </c>
      <c r="Q232" s="2">
        <v>5000000</v>
      </c>
      <c r="R232" t="s">
        <v>681</v>
      </c>
      <c r="S232" t="s">
        <v>2234</v>
      </c>
      <c r="T232">
        <v>54</v>
      </c>
      <c r="U232" t="s">
        <v>1111</v>
      </c>
      <c r="V232" t="s">
        <v>1633</v>
      </c>
      <c r="W232" t="s">
        <v>1634</v>
      </c>
      <c r="X232" t="s">
        <v>1632</v>
      </c>
      <c r="Y232" t="s">
        <v>681</v>
      </c>
      <c r="Z232" s="1">
        <v>45318</v>
      </c>
      <c r="AA232">
        <v>1</v>
      </c>
    </row>
    <row r="233" spans="1:27">
      <c r="A233" t="s">
        <v>56</v>
      </c>
      <c r="B233">
        <v>237</v>
      </c>
      <c r="C233" t="s">
        <v>1640</v>
      </c>
      <c r="D233" t="e">
        <f>VLOOKUP('[1]tblclients (1)'!A233,[1]Feuil1!$A$1:$G$203,4,0)</f>
        <v>#N/A</v>
      </c>
      <c r="E233" t="s">
        <v>2235</v>
      </c>
      <c r="F233" t="s">
        <v>882</v>
      </c>
      <c r="G233" t="s">
        <v>1643</v>
      </c>
      <c r="H233" t="s">
        <v>1644</v>
      </c>
      <c r="I233" t="s">
        <v>1642</v>
      </c>
      <c r="J233" t="s">
        <v>704</v>
      </c>
      <c r="K233" t="s">
        <v>677</v>
      </c>
      <c r="L233" t="s">
        <v>2236</v>
      </c>
      <c r="M233" t="s">
        <v>681</v>
      </c>
      <c r="N233" t="s">
        <v>681</v>
      </c>
      <c r="O233" t="s">
        <v>687</v>
      </c>
      <c r="P233" t="s">
        <v>681</v>
      </c>
      <c r="Q233" t="s">
        <v>2237</v>
      </c>
      <c r="R233" t="s">
        <v>681</v>
      </c>
      <c r="S233">
        <v>711129045</v>
      </c>
      <c r="T233">
        <v>54</v>
      </c>
      <c r="U233" t="s">
        <v>1111</v>
      </c>
      <c r="V233" t="s">
        <v>1602</v>
      </c>
      <c r="W233" t="s">
        <v>681</v>
      </c>
      <c r="X233" t="s">
        <v>1641</v>
      </c>
      <c r="Y233" t="s">
        <v>681</v>
      </c>
      <c r="Z233" s="1">
        <v>45318</v>
      </c>
      <c r="AA233">
        <v>1</v>
      </c>
    </row>
    <row r="234" spans="1:27">
      <c r="A234" t="s">
        <v>98</v>
      </c>
      <c r="B234">
        <v>238</v>
      </c>
      <c r="C234" t="s">
        <v>99</v>
      </c>
      <c r="D234" t="e">
        <f>VLOOKUP('[1]tblclients (1)'!A234,[1]Feuil1!$A$1:$G$203,4,0)</f>
        <v>#N/A</v>
      </c>
      <c r="E234" t="s">
        <v>99</v>
      </c>
      <c r="F234" t="s">
        <v>724</v>
      </c>
      <c r="G234" t="s">
        <v>1649</v>
      </c>
      <c r="H234" t="s">
        <v>1650</v>
      </c>
      <c r="I234" t="s">
        <v>1647</v>
      </c>
      <c r="J234" t="s">
        <v>676</v>
      </c>
      <c r="K234" t="s">
        <v>677</v>
      </c>
      <c r="L234" t="s">
        <v>1651</v>
      </c>
      <c r="M234" t="s">
        <v>1652</v>
      </c>
      <c r="N234">
        <v>16</v>
      </c>
      <c r="O234" t="s">
        <v>687</v>
      </c>
      <c r="P234" t="s">
        <v>681</v>
      </c>
      <c r="Q234" t="s">
        <v>681</v>
      </c>
      <c r="R234" t="s">
        <v>1648</v>
      </c>
      <c r="S234" t="s">
        <v>2238</v>
      </c>
      <c r="T234">
        <v>54</v>
      </c>
      <c r="U234" t="s">
        <v>1111</v>
      </c>
      <c r="V234" t="s">
        <v>1646</v>
      </c>
      <c r="X234" t="s">
        <v>1645</v>
      </c>
      <c r="Z234" s="1">
        <v>45318</v>
      </c>
      <c r="AA234">
        <v>1</v>
      </c>
    </row>
    <row r="235" spans="1:27">
      <c r="A235" t="s">
        <v>1658</v>
      </c>
      <c r="B235">
        <v>239</v>
      </c>
      <c r="C235" t="s">
        <v>1653</v>
      </c>
      <c r="D235" t="e">
        <f>VLOOKUP('[1]tblclients (1)'!A235,[1]Feuil1!$A$1:$G$203,4,0)</f>
        <v>#N/A</v>
      </c>
      <c r="E235" t="s">
        <v>2239</v>
      </c>
      <c r="F235" t="s">
        <v>882</v>
      </c>
      <c r="G235" t="s">
        <v>1660</v>
      </c>
      <c r="H235" t="s">
        <v>1661</v>
      </c>
      <c r="I235" t="s">
        <v>1657</v>
      </c>
      <c r="J235" t="s">
        <v>704</v>
      </c>
      <c r="K235" t="s">
        <v>677</v>
      </c>
      <c r="L235" t="s">
        <v>2240</v>
      </c>
      <c r="M235" t="s">
        <v>681</v>
      </c>
      <c r="N235" t="s">
        <v>681</v>
      </c>
      <c r="O235" t="s">
        <v>692</v>
      </c>
      <c r="P235" t="s">
        <v>681</v>
      </c>
      <c r="Q235" s="2">
        <v>1000000</v>
      </c>
      <c r="R235" t="s">
        <v>1659</v>
      </c>
      <c r="S235">
        <v>700867044</v>
      </c>
      <c r="T235">
        <v>54</v>
      </c>
      <c r="U235" t="s">
        <v>1111</v>
      </c>
      <c r="V235" t="s">
        <v>1655</v>
      </c>
      <c r="W235" t="s">
        <v>1656</v>
      </c>
      <c r="X235" t="s">
        <v>1654</v>
      </c>
      <c r="Y235" t="s">
        <v>681</v>
      </c>
      <c r="Z235" s="1">
        <v>45318</v>
      </c>
      <c r="AA235">
        <v>1</v>
      </c>
    </row>
    <row r="236" spans="1:27">
      <c r="A236" t="s">
        <v>644</v>
      </c>
      <c r="B236">
        <v>240</v>
      </c>
      <c r="C236" t="s">
        <v>645</v>
      </c>
      <c r="D236" t="e">
        <f>VLOOKUP('[1]tblclients (1)'!A236,[1]Feuil1!$A$1:$G$203,4,0)</f>
        <v>#N/A</v>
      </c>
      <c r="E236" t="s">
        <v>645</v>
      </c>
      <c r="F236" t="s">
        <v>1663</v>
      </c>
      <c r="G236" t="s">
        <v>1666</v>
      </c>
      <c r="H236" t="s">
        <v>1667</v>
      </c>
      <c r="I236" t="s">
        <v>1664</v>
      </c>
      <c r="J236" t="s">
        <v>676</v>
      </c>
      <c r="K236" t="s">
        <v>677</v>
      </c>
      <c r="L236" t="s">
        <v>1668</v>
      </c>
      <c r="M236" t="s">
        <v>1669</v>
      </c>
      <c r="N236">
        <v>111</v>
      </c>
      <c r="P236" t="s">
        <v>1670</v>
      </c>
      <c r="Q236" t="s">
        <v>681</v>
      </c>
      <c r="R236" t="s">
        <v>1665</v>
      </c>
      <c r="S236">
        <v>506846054</v>
      </c>
      <c r="T236">
        <v>54</v>
      </c>
      <c r="U236" t="s">
        <v>1111</v>
      </c>
      <c r="V236" t="s">
        <v>1655</v>
      </c>
      <c r="X236" t="s">
        <v>1662</v>
      </c>
      <c r="Z236" s="1">
        <v>45318</v>
      </c>
      <c r="AA236">
        <v>1</v>
      </c>
    </row>
    <row r="237" spans="1:27">
      <c r="A237" t="s">
        <v>384</v>
      </c>
      <c r="B237">
        <v>241</v>
      </c>
      <c r="C237" t="s">
        <v>385</v>
      </c>
      <c r="D237" t="e">
        <f>VLOOKUP('[1]tblclients (1)'!A237,[1]Feuil1!$A$1:$G$203,4,0)</f>
        <v>#N/A</v>
      </c>
      <c r="E237" t="s">
        <v>2241</v>
      </c>
      <c r="F237" t="s">
        <v>1361</v>
      </c>
      <c r="G237" t="s">
        <v>1673</v>
      </c>
      <c r="H237" t="s">
        <v>1674</v>
      </c>
      <c r="I237" t="s">
        <v>1672</v>
      </c>
      <c r="J237" t="s">
        <v>704</v>
      </c>
      <c r="K237" t="s">
        <v>677</v>
      </c>
      <c r="L237" t="s">
        <v>1675</v>
      </c>
      <c r="M237" t="s">
        <v>1676</v>
      </c>
      <c r="N237">
        <v>442</v>
      </c>
      <c r="O237" t="s">
        <v>834</v>
      </c>
      <c r="Q237">
        <v>1000000</v>
      </c>
      <c r="S237">
        <v>759737728</v>
      </c>
      <c r="T237">
        <v>54</v>
      </c>
      <c r="U237" t="s">
        <v>1111</v>
      </c>
      <c r="X237" t="s">
        <v>1671</v>
      </c>
      <c r="Z237" s="1">
        <v>45318</v>
      </c>
      <c r="AA237">
        <v>1</v>
      </c>
    </row>
    <row r="238" spans="1:27">
      <c r="A238" t="s">
        <v>1680</v>
      </c>
      <c r="B238">
        <v>242</v>
      </c>
      <c r="C238" t="s">
        <v>1677</v>
      </c>
      <c r="D238" t="e">
        <f>VLOOKUP('[1]tblclients (1)'!A238,[1]Feuil1!$A$1:$G$203,4,0)</f>
        <v>#N/A</v>
      </c>
      <c r="E238" t="s">
        <v>2242</v>
      </c>
      <c r="F238" t="s">
        <v>1678</v>
      </c>
      <c r="G238" t="s">
        <v>1681</v>
      </c>
      <c r="H238" t="s">
        <v>1682</v>
      </c>
      <c r="I238" t="s">
        <v>1679</v>
      </c>
      <c r="J238" t="s">
        <v>676</v>
      </c>
      <c r="K238" t="s">
        <v>677</v>
      </c>
      <c r="L238" t="s">
        <v>1683</v>
      </c>
    </row>
    <row r="239" spans="1:27">
      <c r="A239" t="s">
        <v>1686</v>
      </c>
      <c r="B239">
        <v>243</v>
      </c>
      <c r="C239" t="s">
        <v>2243</v>
      </c>
      <c r="D239" t="e">
        <f>VLOOKUP('[1]tblclients (1)'!A239,[1]Feuil1!$A$1:$G$203,4,0)</f>
        <v>#N/A</v>
      </c>
      <c r="E239" t="s">
        <v>2244</v>
      </c>
      <c r="F239" t="s">
        <v>1440</v>
      </c>
      <c r="G239" t="s">
        <v>1687</v>
      </c>
      <c r="H239" t="s">
        <v>1688</v>
      </c>
      <c r="I239" t="s">
        <v>1685</v>
      </c>
      <c r="J239" t="s">
        <v>704</v>
      </c>
      <c r="K239" t="s">
        <v>677</v>
      </c>
      <c r="L239" t="s">
        <v>1428</v>
      </c>
      <c r="Q239" s="2">
        <v>10000000</v>
      </c>
      <c r="S239">
        <v>505971751</v>
      </c>
      <c r="T239">
        <v>54</v>
      </c>
      <c r="U239" t="s">
        <v>1416</v>
      </c>
      <c r="V239" t="s">
        <v>1684</v>
      </c>
      <c r="X239" t="s">
        <v>1161</v>
      </c>
      <c r="Z239" s="1">
        <v>45319</v>
      </c>
      <c r="AA239">
        <v>1</v>
      </c>
    </row>
    <row r="240" spans="1:27">
      <c r="A240" t="s">
        <v>1693</v>
      </c>
      <c r="B240">
        <v>244</v>
      </c>
      <c r="C240" t="s">
        <v>1689</v>
      </c>
      <c r="D240" t="e">
        <f>VLOOKUP('[1]tblclients (1)'!A240,[1]Feuil1!$A$1:$G$203,4,0)</f>
        <v>#N/A</v>
      </c>
      <c r="E240" t="s">
        <v>2245</v>
      </c>
      <c r="F240" t="s">
        <v>882</v>
      </c>
      <c r="G240" t="s">
        <v>1694</v>
      </c>
      <c r="H240" t="s">
        <v>1695</v>
      </c>
      <c r="I240" t="s">
        <v>1692</v>
      </c>
      <c r="J240" t="s">
        <v>704</v>
      </c>
      <c r="K240" t="s">
        <v>677</v>
      </c>
      <c r="L240" t="s">
        <v>1696</v>
      </c>
      <c r="M240" t="s">
        <v>1697</v>
      </c>
      <c r="N240">
        <v>43</v>
      </c>
      <c r="O240" t="s">
        <v>942</v>
      </c>
      <c r="Q240">
        <v>1000000</v>
      </c>
      <c r="S240">
        <v>768209206</v>
      </c>
      <c r="T240">
        <v>54</v>
      </c>
      <c r="U240" t="s">
        <v>1111</v>
      </c>
      <c r="V240" t="s">
        <v>1691</v>
      </c>
      <c r="X240" t="s">
        <v>1690</v>
      </c>
      <c r="Z240" s="1">
        <v>45320</v>
      </c>
      <c r="AA240">
        <v>1</v>
      </c>
    </row>
    <row r="241" spans="1:27">
      <c r="A241" t="s">
        <v>1702</v>
      </c>
      <c r="B241">
        <v>245</v>
      </c>
      <c r="C241" t="s">
        <v>1698</v>
      </c>
      <c r="D241" t="e">
        <f>VLOOKUP('[1]tblclients (1)'!A241,[1]Feuil1!$A$1:$G$203,4,0)</f>
        <v>#N/A</v>
      </c>
      <c r="E241" t="s">
        <v>2246</v>
      </c>
      <c r="F241" t="s">
        <v>882</v>
      </c>
      <c r="G241" t="s">
        <v>1703</v>
      </c>
      <c r="H241" t="s">
        <v>1704</v>
      </c>
      <c r="I241" t="s">
        <v>1701</v>
      </c>
      <c r="J241" t="s">
        <v>704</v>
      </c>
      <c r="K241" t="s">
        <v>677</v>
      </c>
      <c r="L241" t="s">
        <v>1705</v>
      </c>
      <c r="O241" t="s">
        <v>750</v>
      </c>
      <c r="P241" t="s">
        <v>1706</v>
      </c>
      <c r="Q241">
        <v>1000000</v>
      </c>
      <c r="S241">
        <v>708313110</v>
      </c>
      <c r="T241">
        <v>54</v>
      </c>
      <c r="U241" t="s">
        <v>1111</v>
      </c>
      <c r="V241" t="s">
        <v>1700</v>
      </c>
      <c r="X241" t="s">
        <v>1699</v>
      </c>
      <c r="Z241" s="1">
        <v>45320</v>
      </c>
      <c r="AA241">
        <v>1</v>
      </c>
    </row>
    <row r="242" spans="1:27">
      <c r="A242" t="s">
        <v>128</v>
      </c>
      <c r="B242">
        <v>246</v>
      </c>
      <c r="C242" t="s">
        <v>2247</v>
      </c>
      <c r="D242" t="e">
        <f>VLOOKUP('[1]tblclients (1)'!A242,[1]Feuil1!$A$1:$G$203,4,0)</f>
        <v>#N/A</v>
      </c>
      <c r="E242" t="s">
        <v>2248</v>
      </c>
      <c r="F242" t="s">
        <v>2139</v>
      </c>
      <c r="G242" t="s">
        <v>1708</v>
      </c>
      <c r="H242" t="s">
        <v>1709</v>
      </c>
      <c r="I242" t="s">
        <v>1707</v>
      </c>
      <c r="J242" t="s">
        <v>704</v>
      </c>
      <c r="K242" t="s">
        <v>677</v>
      </c>
      <c r="L242" t="s">
        <v>2249</v>
      </c>
      <c r="M242" t="s">
        <v>1710</v>
      </c>
      <c r="N242">
        <v>45</v>
      </c>
      <c r="O242" t="s">
        <v>834</v>
      </c>
      <c r="P242" t="s">
        <v>681</v>
      </c>
      <c r="Q242" s="2">
        <v>1000000</v>
      </c>
      <c r="R242" t="s">
        <v>681</v>
      </c>
      <c r="S242" t="s">
        <v>2250</v>
      </c>
      <c r="T242">
        <v>54</v>
      </c>
      <c r="U242" t="s">
        <v>1111</v>
      </c>
      <c r="W242" t="s">
        <v>681</v>
      </c>
      <c r="X242" t="s">
        <v>671</v>
      </c>
      <c r="Y242" t="s">
        <v>681</v>
      </c>
      <c r="Z242" s="1">
        <v>45127</v>
      </c>
      <c r="AA242">
        <v>1</v>
      </c>
    </row>
    <row r="243" spans="1:27">
      <c r="A243" t="s">
        <v>608</v>
      </c>
      <c r="B243">
        <v>247</v>
      </c>
      <c r="C243" t="s">
        <v>609</v>
      </c>
      <c r="D243" t="e">
        <f>VLOOKUP('[1]tblclients (1)'!A243,[1]Feuil1!$A$1:$G$203,4,0)</f>
        <v>#N/A</v>
      </c>
      <c r="E243" t="s">
        <v>2251</v>
      </c>
      <c r="F243" t="s">
        <v>2127</v>
      </c>
      <c r="G243" t="s">
        <v>1714</v>
      </c>
      <c r="H243" t="s">
        <v>1715</v>
      </c>
      <c r="I243" t="s">
        <v>1713</v>
      </c>
      <c r="J243" t="s">
        <v>704</v>
      </c>
      <c r="K243" t="s">
        <v>677</v>
      </c>
      <c r="L243" t="s">
        <v>1716</v>
      </c>
      <c r="M243" t="s">
        <v>1717</v>
      </c>
      <c r="N243">
        <v>397</v>
      </c>
      <c r="O243" t="s">
        <v>942</v>
      </c>
      <c r="P243" t="s">
        <v>879</v>
      </c>
      <c r="Q243" s="2">
        <v>5000000</v>
      </c>
      <c r="R243" t="s">
        <v>681</v>
      </c>
      <c r="S243" t="s">
        <v>2252</v>
      </c>
      <c r="T243">
        <v>54</v>
      </c>
      <c r="U243" t="s">
        <v>1111</v>
      </c>
      <c r="V243" t="s">
        <v>1712</v>
      </c>
      <c r="W243" t="s">
        <v>681</v>
      </c>
      <c r="X243" t="s">
        <v>1711</v>
      </c>
      <c r="Y243" t="s">
        <v>681</v>
      </c>
      <c r="Z243" s="1">
        <v>45217</v>
      </c>
      <c r="AA243">
        <v>1</v>
      </c>
    </row>
    <row r="244" spans="1:27">
      <c r="A244" t="s">
        <v>1722</v>
      </c>
      <c r="B244">
        <v>248</v>
      </c>
      <c r="C244" t="s">
        <v>1718</v>
      </c>
      <c r="D244" t="e">
        <f>VLOOKUP('[1]tblclients (1)'!A244,[1]Feuil1!$A$1:$G$203,4,0)</f>
        <v>#N/A</v>
      </c>
      <c r="E244" t="s">
        <v>2253</v>
      </c>
      <c r="F244" t="s">
        <v>882</v>
      </c>
      <c r="G244" t="s">
        <v>1723</v>
      </c>
      <c r="H244" t="s">
        <v>1724</v>
      </c>
      <c r="I244" t="s">
        <v>1721</v>
      </c>
      <c r="J244" t="s">
        <v>704</v>
      </c>
      <c r="K244" t="s">
        <v>677</v>
      </c>
      <c r="L244" t="s">
        <v>1725</v>
      </c>
      <c r="M244" t="s">
        <v>1726</v>
      </c>
      <c r="O244" t="s">
        <v>942</v>
      </c>
      <c r="P244" t="s">
        <v>896</v>
      </c>
      <c r="Q244">
        <v>1000000</v>
      </c>
      <c r="S244">
        <v>505890414</v>
      </c>
      <c r="T244">
        <v>54</v>
      </c>
      <c r="U244" t="s">
        <v>1111</v>
      </c>
      <c r="V244" t="s">
        <v>1720</v>
      </c>
      <c r="X244" t="s">
        <v>1719</v>
      </c>
      <c r="Z244" s="1">
        <v>45320</v>
      </c>
      <c r="AA244">
        <v>1</v>
      </c>
    </row>
    <row r="245" spans="1:27">
      <c r="A245" t="s">
        <v>472</v>
      </c>
      <c r="B245">
        <v>249</v>
      </c>
      <c r="C245" t="s">
        <v>1727</v>
      </c>
      <c r="D245" t="e">
        <f>VLOOKUP('[1]tblclients (1)'!A245,[1]Feuil1!$A$1:$G$203,4,0)</f>
        <v>#N/A</v>
      </c>
      <c r="E245" t="s">
        <v>2254</v>
      </c>
      <c r="F245" t="s">
        <v>2255</v>
      </c>
      <c r="G245" t="s">
        <v>1723</v>
      </c>
      <c r="H245" t="s">
        <v>1715</v>
      </c>
      <c r="I245" t="s">
        <v>1357</v>
      </c>
      <c r="J245" t="s">
        <v>704</v>
      </c>
      <c r="K245" t="s">
        <v>677</v>
      </c>
      <c r="L245" t="s">
        <v>2256</v>
      </c>
      <c r="M245" t="s">
        <v>681</v>
      </c>
      <c r="N245" t="s">
        <v>681</v>
      </c>
      <c r="O245" t="s">
        <v>687</v>
      </c>
      <c r="P245" t="s">
        <v>1730</v>
      </c>
      <c r="Q245" s="2">
        <v>1000000</v>
      </c>
      <c r="R245" t="s">
        <v>681</v>
      </c>
      <c r="S245">
        <v>707438904</v>
      </c>
      <c r="T245">
        <v>54</v>
      </c>
      <c r="U245" t="s">
        <v>1111</v>
      </c>
      <c r="V245" t="s">
        <v>681</v>
      </c>
      <c r="W245" t="s">
        <v>1728</v>
      </c>
      <c r="X245" t="s">
        <v>728</v>
      </c>
      <c r="Y245" t="s">
        <v>681</v>
      </c>
      <c r="Z245" s="1">
        <v>44985</v>
      </c>
      <c r="AA245">
        <v>1</v>
      </c>
    </row>
    <row r="246" spans="1:27">
      <c r="A246" t="s">
        <v>586</v>
      </c>
      <c r="B246">
        <v>250</v>
      </c>
      <c r="C246" t="s">
        <v>1731</v>
      </c>
      <c r="D246" t="e">
        <f>VLOOKUP('[1]tblclients (1)'!A246,[1]Feuil1!$A$1:$G$203,4,0)</f>
        <v>#N/A</v>
      </c>
      <c r="E246" t="s">
        <v>2257</v>
      </c>
      <c r="F246" t="s">
        <v>2139</v>
      </c>
      <c r="G246" t="s">
        <v>2258</v>
      </c>
      <c r="H246" t="s">
        <v>2259</v>
      </c>
      <c r="I246" t="s">
        <v>1733</v>
      </c>
      <c r="J246" t="s">
        <v>704</v>
      </c>
      <c r="K246" t="s">
        <v>677</v>
      </c>
      <c r="L246" t="s">
        <v>1735</v>
      </c>
      <c r="M246" t="s">
        <v>1736</v>
      </c>
      <c r="N246">
        <v>44</v>
      </c>
      <c r="O246" t="s">
        <v>692</v>
      </c>
      <c r="P246" t="s">
        <v>896</v>
      </c>
      <c r="Q246" s="2">
        <v>1000000</v>
      </c>
      <c r="R246" t="s">
        <v>681</v>
      </c>
      <c r="S246">
        <v>757515428</v>
      </c>
      <c r="T246">
        <v>54</v>
      </c>
      <c r="U246" t="s">
        <v>1111</v>
      </c>
      <c r="V246" t="s">
        <v>1732</v>
      </c>
      <c r="W246" t="s">
        <v>681</v>
      </c>
      <c r="X246" t="s">
        <v>689</v>
      </c>
      <c r="Y246" t="s">
        <v>681</v>
      </c>
      <c r="Z246" s="1">
        <v>44957</v>
      </c>
      <c r="AA246">
        <v>1</v>
      </c>
    </row>
    <row r="247" spans="1:27">
      <c r="A247" t="s">
        <v>560</v>
      </c>
      <c r="B247">
        <v>251</v>
      </c>
      <c r="C247" t="s">
        <v>633</v>
      </c>
      <c r="D247" t="e">
        <f>VLOOKUP('[1]tblclients (1)'!A247,[1]Feuil1!$A$1:$G$203,4,0)</f>
        <v>#N/A</v>
      </c>
      <c r="E247" t="s">
        <v>2260</v>
      </c>
      <c r="F247" t="s">
        <v>2127</v>
      </c>
      <c r="G247" t="s">
        <v>2261</v>
      </c>
      <c r="H247" t="s">
        <v>2262</v>
      </c>
      <c r="I247" t="s">
        <v>1739</v>
      </c>
      <c r="J247" t="s">
        <v>704</v>
      </c>
      <c r="K247" t="s">
        <v>677</v>
      </c>
      <c r="L247" t="s">
        <v>1741</v>
      </c>
      <c r="M247" t="s">
        <v>1742</v>
      </c>
      <c r="N247">
        <v>155</v>
      </c>
      <c r="O247" t="s">
        <v>834</v>
      </c>
      <c r="P247" t="s">
        <v>1743</v>
      </c>
      <c r="Q247" s="2">
        <v>5000000</v>
      </c>
      <c r="R247" t="s">
        <v>681</v>
      </c>
      <c r="S247">
        <v>747343451</v>
      </c>
      <c r="T247">
        <v>54</v>
      </c>
      <c r="U247" t="s">
        <v>1111</v>
      </c>
      <c r="V247" t="s">
        <v>1738</v>
      </c>
      <c r="W247" t="s">
        <v>681</v>
      </c>
      <c r="X247" t="s">
        <v>1737</v>
      </c>
      <c r="Y247" t="s">
        <v>681</v>
      </c>
      <c r="Z247" s="1">
        <v>44957</v>
      </c>
      <c r="AA247">
        <v>1</v>
      </c>
    </row>
    <row r="248" spans="1:27">
      <c r="A248" t="s">
        <v>296</v>
      </c>
      <c r="B248">
        <v>252</v>
      </c>
      <c r="C248" t="s">
        <v>297</v>
      </c>
      <c r="D248" t="e">
        <f>VLOOKUP('[1]tblclients (1)'!A248,[1]Feuil1!$A$1:$G$203,4,0)</f>
        <v>#N/A</v>
      </c>
      <c r="E248" t="s">
        <v>2263</v>
      </c>
      <c r="F248" t="s">
        <v>882</v>
      </c>
      <c r="G248" t="s">
        <v>1747</v>
      </c>
      <c r="H248" t="s">
        <v>1748</v>
      </c>
      <c r="I248" t="s">
        <v>1745</v>
      </c>
      <c r="J248" t="s">
        <v>704</v>
      </c>
      <c r="K248" t="s">
        <v>677</v>
      </c>
      <c r="L248" t="s">
        <v>1637</v>
      </c>
      <c r="O248" t="s">
        <v>750</v>
      </c>
      <c r="Q248">
        <v>1000000</v>
      </c>
      <c r="R248" t="s">
        <v>1746</v>
      </c>
      <c r="S248">
        <v>757417993</v>
      </c>
      <c r="T248">
        <v>54</v>
      </c>
      <c r="U248" t="s">
        <v>1111</v>
      </c>
      <c r="V248" t="s">
        <v>1744</v>
      </c>
      <c r="X248" t="s">
        <v>763</v>
      </c>
      <c r="Z248" s="1">
        <v>45320</v>
      </c>
      <c r="AA248">
        <v>1</v>
      </c>
    </row>
    <row r="249" spans="1:27">
      <c r="A249" t="s">
        <v>422</v>
      </c>
      <c r="B249">
        <v>253</v>
      </c>
      <c r="C249" t="s">
        <v>423</v>
      </c>
      <c r="D249" t="e">
        <f>VLOOKUP('[1]tblclients (1)'!A249,[1]Feuil1!$A$1:$G$203,4,0)</f>
        <v>#N/A</v>
      </c>
      <c r="E249" t="s">
        <v>2264</v>
      </c>
      <c r="F249" t="s">
        <v>882</v>
      </c>
      <c r="G249" t="s">
        <v>1750</v>
      </c>
      <c r="H249" t="s">
        <v>1751</v>
      </c>
      <c r="I249" t="s">
        <v>1749</v>
      </c>
      <c r="J249" t="s">
        <v>704</v>
      </c>
      <c r="K249" t="s">
        <v>677</v>
      </c>
      <c r="L249" t="s">
        <v>1752</v>
      </c>
      <c r="Q249">
        <v>1000000</v>
      </c>
      <c r="S249">
        <v>749647044</v>
      </c>
      <c r="T249">
        <v>54</v>
      </c>
      <c r="U249" t="s">
        <v>1111</v>
      </c>
      <c r="X249" t="s">
        <v>782</v>
      </c>
      <c r="Z249" s="1">
        <v>45320</v>
      </c>
      <c r="AA249">
        <v>1</v>
      </c>
    </row>
    <row r="250" spans="1:27">
      <c r="A250" t="s">
        <v>582</v>
      </c>
      <c r="B250">
        <v>254</v>
      </c>
      <c r="C250" t="s">
        <v>583</v>
      </c>
      <c r="D250" t="e">
        <f>VLOOKUP('[1]tblclients (1)'!A250,[1]Feuil1!$A$1:$G$203,4,0)</f>
        <v>#N/A</v>
      </c>
      <c r="E250" t="s">
        <v>2265</v>
      </c>
      <c r="F250" t="s">
        <v>882</v>
      </c>
      <c r="G250" t="s">
        <v>1755</v>
      </c>
      <c r="H250" t="s">
        <v>1756</v>
      </c>
      <c r="I250" t="s">
        <v>1754</v>
      </c>
      <c r="J250" t="s">
        <v>704</v>
      </c>
      <c r="K250" t="s">
        <v>677</v>
      </c>
      <c r="L250" t="s">
        <v>1757</v>
      </c>
      <c r="O250" t="s">
        <v>1222</v>
      </c>
      <c r="Q250">
        <v>1000000</v>
      </c>
      <c r="S250">
        <v>505544586</v>
      </c>
      <c r="T250">
        <v>54</v>
      </c>
      <c r="U250" t="s">
        <v>1111</v>
      </c>
      <c r="X250" t="s">
        <v>2266</v>
      </c>
      <c r="Z250" s="1">
        <v>45320</v>
      </c>
      <c r="AA250">
        <v>1</v>
      </c>
    </row>
    <row r="251" spans="1:27">
      <c r="A251" t="s">
        <v>442</v>
      </c>
      <c r="B251">
        <v>255</v>
      </c>
      <c r="C251" t="s">
        <v>2267</v>
      </c>
      <c r="D251" t="e">
        <f>VLOOKUP('[1]tblclients (1)'!A251,[1]Feuil1!$A$1:$G$203,4,0)</f>
        <v>#N/A</v>
      </c>
      <c r="E251" t="s">
        <v>2268</v>
      </c>
      <c r="F251" t="s">
        <v>2127</v>
      </c>
      <c r="G251" t="s">
        <v>1761</v>
      </c>
      <c r="H251" t="s">
        <v>1762</v>
      </c>
      <c r="I251" t="s">
        <v>1760</v>
      </c>
      <c r="J251" t="s">
        <v>704</v>
      </c>
      <c r="K251" t="s">
        <v>677</v>
      </c>
      <c r="M251" t="s">
        <v>681</v>
      </c>
      <c r="N251" t="s">
        <v>681</v>
      </c>
      <c r="O251" t="s">
        <v>1222</v>
      </c>
      <c r="P251" t="s">
        <v>1585</v>
      </c>
      <c r="Q251" s="2">
        <v>5000000</v>
      </c>
      <c r="R251" t="s">
        <v>681</v>
      </c>
      <c r="S251">
        <v>505059047</v>
      </c>
      <c r="T251">
        <v>54</v>
      </c>
      <c r="U251" t="s">
        <v>1111</v>
      </c>
      <c r="V251" t="s">
        <v>1759</v>
      </c>
      <c r="W251" t="s">
        <v>681</v>
      </c>
      <c r="X251" t="s">
        <v>2269</v>
      </c>
      <c r="Y251" t="s">
        <v>681</v>
      </c>
      <c r="Z251" s="1">
        <v>43871</v>
      </c>
      <c r="AA251">
        <v>1</v>
      </c>
    </row>
    <row r="252" spans="1:27">
      <c r="A252" t="s">
        <v>334</v>
      </c>
      <c r="B252">
        <v>256</v>
      </c>
      <c r="C252" t="s">
        <v>1763</v>
      </c>
      <c r="D252" t="e">
        <f>VLOOKUP('[1]tblclients (1)'!A252,[1]Feuil1!$A$1:$G$203,4,0)</f>
        <v>#N/A</v>
      </c>
      <c r="E252" t="s">
        <v>2270</v>
      </c>
      <c r="F252" t="s">
        <v>2127</v>
      </c>
      <c r="G252" t="s">
        <v>1767</v>
      </c>
      <c r="H252" t="s">
        <v>1768</v>
      </c>
      <c r="I252" t="s">
        <v>1766</v>
      </c>
      <c r="J252" t="s">
        <v>704</v>
      </c>
      <c r="K252" t="s">
        <v>677</v>
      </c>
      <c r="L252" t="s">
        <v>1769</v>
      </c>
      <c r="M252" t="s">
        <v>1770</v>
      </c>
      <c r="N252">
        <v>127</v>
      </c>
      <c r="O252" t="s">
        <v>1222</v>
      </c>
      <c r="P252" t="s">
        <v>1386</v>
      </c>
      <c r="Q252" s="2">
        <v>1000000</v>
      </c>
      <c r="R252" t="s">
        <v>681</v>
      </c>
      <c r="S252">
        <v>708423838</v>
      </c>
      <c r="T252">
        <v>54</v>
      </c>
      <c r="U252" t="s">
        <v>1111</v>
      </c>
      <c r="V252" t="s">
        <v>1764</v>
      </c>
      <c r="W252" t="s">
        <v>1765</v>
      </c>
      <c r="X252" t="s">
        <v>788</v>
      </c>
      <c r="Y252" t="s">
        <v>681</v>
      </c>
      <c r="Z252" s="1">
        <v>44592</v>
      </c>
      <c r="AA252">
        <v>1</v>
      </c>
    </row>
    <row r="253" spans="1:27">
      <c r="A253" t="s">
        <v>568</v>
      </c>
      <c r="B253">
        <v>257</v>
      </c>
      <c r="C253" t="s">
        <v>569</v>
      </c>
      <c r="D253" t="e">
        <f>VLOOKUP('[1]tblclients (1)'!A253,[1]Feuil1!$A$1:$G$203,4,0)</f>
        <v>#N/A</v>
      </c>
      <c r="E253" t="s">
        <v>2271</v>
      </c>
      <c r="F253" t="s">
        <v>2127</v>
      </c>
      <c r="G253" t="s">
        <v>1773</v>
      </c>
      <c r="H253" t="s">
        <v>1774</v>
      </c>
      <c r="J253" t="s">
        <v>704</v>
      </c>
      <c r="K253" t="s">
        <v>712</v>
      </c>
      <c r="L253" t="s">
        <v>1775</v>
      </c>
      <c r="M253" t="s">
        <v>1770</v>
      </c>
      <c r="N253">
        <v>147</v>
      </c>
      <c r="O253" t="s">
        <v>1222</v>
      </c>
      <c r="P253" t="s">
        <v>1776</v>
      </c>
      <c r="Q253" s="2">
        <v>1000000</v>
      </c>
      <c r="R253" t="s">
        <v>681</v>
      </c>
      <c r="S253">
        <v>708473838</v>
      </c>
      <c r="T253">
        <v>54</v>
      </c>
      <c r="U253" t="s">
        <v>1111</v>
      </c>
      <c r="V253" t="s">
        <v>1771</v>
      </c>
      <c r="W253" t="s">
        <v>1772</v>
      </c>
      <c r="X253" t="s">
        <v>788</v>
      </c>
      <c r="Y253" t="s">
        <v>681</v>
      </c>
      <c r="Z253" s="1">
        <v>44589</v>
      </c>
      <c r="AA253">
        <v>1</v>
      </c>
    </row>
    <row r="254" spans="1:27">
      <c r="A254" t="s">
        <v>518</v>
      </c>
      <c r="B254">
        <v>258</v>
      </c>
      <c r="C254" t="s">
        <v>1777</v>
      </c>
      <c r="D254" t="e">
        <f>VLOOKUP('[1]tblclients (1)'!A254,[1]Feuil1!$A$1:$G$203,4,0)</f>
        <v>#N/A</v>
      </c>
      <c r="E254" t="s">
        <v>2272</v>
      </c>
      <c r="F254" t="s">
        <v>2139</v>
      </c>
      <c r="G254" t="s">
        <v>1780</v>
      </c>
      <c r="H254" t="s">
        <v>1781</v>
      </c>
      <c r="I254" t="s">
        <v>1779</v>
      </c>
      <c r="J254" t="s">
        <v>704</v>
      </c>
      <c r="K254" t="s">
        <v>677</v>
      </c>
      <c r="L254" t="s">
        <v>1782</v>
      </c>
      <c r="M254" t="s">
        <v>1783</v>
      </c>
      <c r="N254">
        <v>382</v>
      </c>
      <c r="O254" t="s">
        <v>1222</v>
      </c>
      <c r="P254" t="s">
        <v>1784</v>
      </c>
      <c r="Q254" s="2">
        <v>1000000</v>
      </c>
      <c r="R254" t="s">
        <v>681</v>
      </c>
      <c r="S254">
        <v>707742222</v>
      </c>
      <c r="T254">
        <v>54</v>
      </c>
      <c r="U254" t="s">
        <v>1111</v>
      </c>
      <c r="V254" t="s">
        <v>1778</v>
      </c>
      <c r="W254" t="s">
        <v>681</v>
      </c>
      <c r="X254" t="s">
        <v>788</v>
      </c>
      <c r="Y254" t="s">
        <v>681</v>
      </c>
      <c r="Z254" s="1">
        <v>44589</v>
      </c>
      <c r="AA254">
        <v>1</v>
      </c>
    </row>
    <row r="255" spans="1:27">
      <c r="A255" t="s">
        <v>76</v>
      </c>
      <c r="B255">
        <v>259</v>
      </c>
      <c r="C255" t="s">
        <v>77</v>
      </c>
      <c r="D255" t="e">
        <f>VLOOKUP('[1]tblclients (1)'!A255,[1]Feuil1!$A$1:$G$203,4,0)</f>
        <v>#N/A</v>
      </c>
      <c r="E255" t="s">
        <v>2273</v>
      </c>
      <c r="F255" t="s">
        <v>882</v>
      </c>
      <c r="G255" t="s">
        <v>1789</v>
      </c>
      <c r="H255" t="s">
        <v>1790</v>
      </c>
      <c r="I255" t="s">
        <v>1787</v>
      </c>
      <c r="J255" t="s">
        <v>704</v>
      </c>
      <c r="K255" t="s">
        <v>677</v>
      </c>
      <c r="L255" t="s">
        <v>1791</v>
      </c>
      <c r="O255" t="s">
        <v>750</v>
      </c>
      <c r="P255" t="s">
        <v>889</v>
      </c>
      <c r="Q255">
        <v>1000000</v>
      </c>
      <c r="R255" t="s">
        <v>1788</v>
      </c>
      <c r="S255">
        <v>707336407</v>
      </c>
      <c r="T255">
        <v>54</v>
      </c>
      <c r="U255" t="s">
        <v>1111</v>
      </c>
      <c r="V255" t="s">
        <v>1786</v>
      </c>
      <c r="X255" t="s">
        <v>1785</v>
      </c>
      <c r="Z255" s="1">
        <v>45321</v>
      </c>
      <c r="AA255">
        <v>1</v>
      </c>
    </row>
    <row r="256" spans="1:27">
      <c r="A256" t="s">
        <v>48</v>
      </c>
      <c r="B256">
        <v>260</v>
      </c>
      <c r="C256" t="s">
        <v>49</v>
      </c>
      <c r="D256" t="e">
        <f>VLOOKUP('[1]tblclients (1)'!A256,[1]Feuil1!$A$1:$G$203,4,0)</f>
        <v>#N/A</v>
      </c>
      <c r="E256" t="s">
        <v>2274</v>
      </c>
      <c r="F256" t="s">
        <v>2275</v>
      </c>
      <c r="G256" t="s">
        <v>1780</v>
      </c>
      <c r="H256" t="s">
        <v>1796</v>
      </c>
      <c r="I256" t="s">
        <v>1795</v>
      </c>
      <c r="J256" t="s">
        <v>704</v>
      </c>
      <c r="K256" t="s">
        <v>712</v>
      </c>
      <c r="L256" t="s">
        <v>1797</v>
      </c>
      <c r="M256" t="s">
        <v>1794</v>
      </c>
      <c r="N256" t="s">
        <v>1794</v>
      </c>
      <c r="O256" t="s">
        <v>1222</v>
      </c>
      <c r="P256" t="s">
        <v>879</v>
      </c>
      <c r="Q256" s="2">
        <v>1000000</v>
      </c>
      <c r="R256" t="s">
        <v>1794</v>
      </c>
      <c r="S256">
        <v>749933263</v>
      </c>
      <c r="T256">
        <v>54</v>
      </c>
      <c r="U256" t="s">
        <v>1416</v>
      </c>
      <c r="V256" t="s">
        <v>1793</v>
      </c>
      <c r="W256" t="s">
        <v>1794</v>
      </c>
      <c r="X256" t="s">
        <v>1792</v>
      </c>
    </row>
    <row r="257" spans="1:27">
      <c r="A257" t="s">
        <v>1802</v>
      </c>
      <c r="B257">
        <v>261</v>
      </c>
      <c r="C257" t="s">
        <v>1798</v>
      </c>
      <c r="D257" t="e">
        <f>VLOOKUP('[1]tblclients (1)'!A257,[1]Feuil1!$A$1:$G$203,4,0)</f>
        <v>#N/A</v>
      </c>
      <c r="E257" t="s">
        <v>2276</v>
      </c>
      <c r="F257" t="s">
        <v>882</v>
      </c>
      <c r="G257" t="s">
        <v>1804</v>
      </c>
      <c r="H257" t="s">
        <v>1805</v>
      </c>
      <c r="I257" t="s">
        <v>1801</v>
      </c>
      <c r="J257" t="s">
        <v>704</v>
      </c>
      <c r="K257" t="s">
        <v>712</v>
      </c>
      <c r="L257" t="s">
        <v>1806</v>
      </c>
      <c r="O257" t="s">
        <v>834</v>
      </c>
      <c r="Q257">
        <v>1000000</v>
      </c>
      <c r="R257" t="s">
        <v>1803</v>
      </c>
      <c r="S257">
        <v>556628671</v>
      </c>
      <c r="T257">
        <v>54</v>
      </c>
      <c r="U257" t="s">
        <v>1111</v>
      </c>
      <c r="V257" t="s">
        <v>1800</v>
      </c>
      <c r="X257" t="s">
        <v>1799</v>
      </c>
      <c r="Z257" s="1">
        <v>45321</v>
      </c>
      <c r="AA257">
        <v>1</v>
      </c>
    </row>
    <row r="258" spans="1:27">
      <c r="A258" t="s">
        <v>44</v>
      </c>
      <c r="B258">
        <v>262</v>
      </c>
      <c r="C258" t="s">
        <v>1807</v>
      </c>
      <c r="D258" t="e">
        <f>VLOOKUP('[1]tblclients (1)'!A258,[1]Feuil1!$A$1:$G$203,4,0)</f>
        <v>#N/A</v>
      </c>
      <c r="E258" t="s">
        <v>2277</v>
      </c>
      <c r="F258" t="s">
        <v>882</v>
      </c>
      <c r="G258" t="s">
        <v>1811</v>
      </c>
      <c r="H258" t="s">
        <v>1812</v>
      </c>
      <c r="I258" t="s">
        <v>1809</v>
      </c>
      <c r="J258" t="s">
        <v>704</v>
      </c>
      <c r="K258" t="s">
        <v>677</v>
      </c>
      <c r="L258" t="s">
        <v>1813</v>
      </c>
      <c r="O258" t="s">
        <v>1222</v>
      </c>
      <c r="P258" t="s">
        <v>1814</v>
      </c>
      <c r="Q258">
        <v>1000000</v>
      </c>
      <c r="R258" t="s">
        <v>1810</v>
      </c>
      <c r="S258">
        <v>757417993</v>
      </c>
      <c r="T258">
        <v>54</v>
      </c>
      <c r="U258" t="s">
        <v>1111</v>
      </c>
      <c r="X258" t="s">
        <v>1808</v>
      </c>
      <c r="Z258" s="1">
        <v>45321</v>
      </c>
      <c r="AA258">
        <v>1</v>
      </c>
    </row>
    <row r="259" spans="1:27">
      <c r="A259" t="s">
        <v>444</v>
      </c>
      <c r="B259">
        <v>263</v>
      </c>
      <c r="C259" t="s">
        <v>445</v>
      </c>
      <c r="D259" t="e">
        <f>VLOOKUP('[1]tblclients (1)'!A259,[1]Feuil1!$A$1:$G$203,4,0)</f>
        <v>#N/A</v>
      </c>
      <c r="E259" t="s">
        <v>2278</v>
      </c>
      <c r="F259" t="s">
        <v>1361</v>
      </c>
      <c r="G259" t="s">
        <v>1817</v>
      </c>
      <c r="H259" t="s">
        <v>1818</v>
      </c>
      <c r="I259" t="s">
        <v>1816</v>
      </c>
      <c r="J259" t="s">
        <v>704</v>
      </c>
      <c r="K259" t="s">
        <v>677</v>
      </c>
      <c r="L259" t="s">
        <v>1819</v>
      </c>
      <c r="M259" t="s">
        <v>1820</v>
      </c>
      <c r="N259">
        <v>270</v>
      </c>
      <c r="O259" t="s">
        <v>942</v>
      </c>
      <c r="P259" t="s">
        <v>1821</v>
      </c>
      <c r="Q259">
        <v>1000000</v>
      </c>
      <c r="S259">
        <v>708075219</v>
      </c>
      <c r="T259">
        <v>54</v>
      </c>
      <c r="U259" t="s">
        <v>1111</v>
      </c>
      <c r="V259" t="s">
        <v>1815</v>
      </c>
      <c r="X259" t="s">
        <v>959</v>
      </c>
      <c r="Z259" s="1">
        <v>45321</v>
      </c>
      <c r="AA259">
        <v>1</v>
      </c>
    </row>
    <row r="260" spans="1:27">
      <c r="A260" t="s">
        <v>480</v>
      </c>
      <c r="B260">
        <v>264</v>
      </c>
      <c r="C260" t="s">
        <v>1822</v>
      </c>
      <c r="D260" t="e">
        <f>VLOOKUP('[1]tblclients (1)'!A260,[1]Feuil1!$A$1:$G$203,4,0)</f>
        <v>#N/A</v>
      </c>
      <c r="E260" t="s">
        <v>1822</v>
      </c>
      <c r="F260" t="s">
        <v>1388</v>
      </c>
      <c r="G260" t="s">
        <v>1825</v>
      </c>
      <c r="H260" t="s">
        <v>1826</v>
      </c>
      <c r="I260" t="s">
        <v>1824</v>
      </c>
      <c r="J260" t="s">
        <v>676</v>
      </c>
      <c r="K260" t="s">
        <v>677</v>
      </c>
      <c r="L260" t="s">
        <v>1827</v>
      </c>
      <c r="O260" t="s">
        <v>942</v>
      </c>
      <c r="S260">
        <v>707812605</v>
      </c>
      <c r="T260">
        <v>54</v>
      </c>
      <c r="U260" t="s">
        <v>1111</v>
      </c>
      <c r="X260" t="s">
        <v>1823</v>
      </c>
      <c r="Z260" s="1">
        <v>45321</v>
      </c>
      <c r="AA260">
        <v>1</v>
      </c>
    </row>
    <row r="261" spans="1:27">
      <c r="A261" t="s">
        <v>142</v>
      </c>
      <c r="B261">
        <v>265</v>
      </c>
      <c r="C261" t="s">
        <v>143</v>
      </c>
      <c r="D261" t="e">
        <f>VLOOKUP('[1]tblclients (1)'!A261,[1]Feuil1!$A$1:$G$203,4,0)</f>
        <v>#N/A</v>
      </c>
      <c r="E261" t="s">
        <v>143</v>
      </c>
      <c r="F261" t="s">
        <v>1678</v>
      </c>
      <c r="G261" t="s">
        <v>1830</v>
      </c>
      <c r="H261" t="s">
        <v>1831</v>
      </c>
      <c r="I261" t="s">
        <v>1829</v>
      </c>
      <c r="J261" t="s">
        <v>676</v>
      </c>
      <c r="K261" t="s">
        <v>677</v>
      </c>
      <c r="L261" t="s">
        <v>1832</v>
      </c>
      <c r="O261" t="s">
        <v>942</v>
      </c>
      <c r="P261" t="s">
        <v>1833</v>
      </c>
      <c r="S261">
        <v>709595813</v>
      </c>
      <c r="T261">
        <v>54</v>
      </c>
      <c r="U261" t="s">
        <v>1111</v>
      </c>
      <c r="X261" t="s">
        <v>1828</v>
      </c>
      <c r="Z261" s="1">
        <v>45321</v>
      </c>
      <c r="AA261">
        <v>1</v>
      </c>
    </row>
    <row r="262" spans="1:27">
      <c r="A262" t="s">
        <v>1835</v>
      </c>
      <c r="B262">
        <v>266</v>
      </c>
      <c r="C262" t="s">
        <v>109</v>
      </c>
      <c r="D262" t="e">
        <f>VLOOKUP('[1]tblclients (1)'!A262,[1]Feuil1!$A$1:$G$203,4,0)</f>
        <v>#N/A</v>
      </c>
      <c r="E262" t="s">
        <v>109</v>
      </c>
      <c r="G262" t="s">
        <v>1836</v>
      </c>
      <c r="H262" t="s">
        <v>1837</v>
      </c>
      <c r="I262" t="s">
        <v>1834</v>
      </c>
      <c r="J262" t="s">
        <v>676</v>
      </c>
      <c r="K262" t="s">
        <v>677</v>
      </c>
      <c r="L262" t="s">
        <v>1838</v>
      </c>
      <c r="O262" t="s">
        <v>687</v>
      </c>
      <c r="S262">
        <v>707824020</v>
      </c>
      <c r="T262">
        <v>54</v>
      </c>
      <c r="U262" t="s">
        <v>1111</v>
      </c>
      <c r="X262" t="s">
        <v>959</v>
      </c>
      <c r="Z262" s="1">
        <v>45321</v>
      </c>
      <c r="AA262">
        <v>1</v>
      </c>
    </row>
    <row r="263" spans="1:27">
      <c r="A263" t="s">
        <v>154</v>
      </c>
      <c r="B263">
        <v>267</v>
      </c>
      <c r="C263" t="s">
        <v>2279</v>
      </c>
      <c r="D263" t="e">
        <f>VLOOKUP('[1]tblclients (1)'!A263,[1]Feuil1!$A$1:$G$203,4,0)</f>
        <v>#N/A</v>
      </c>
      <c r="E263" t="s">
        <v>2280</v>
      </c>
      <c r="F263" t="s">
        <v>1440</v>
      </c>
      <c r="G263" t="s">
        <v>1843</v>
      </c>
      <c r="H263" t="s">
        <v>1844</v>
      </c>
      <c r="I263" t="s">
        <v>1842</v>
      </c>
      <c r="J263" t="s">
        <v>704</v>
      </c>
      <c r="K263" t="s">
        <v>677</v>
      </c>
      <c r="L263" t="s">
        <v>1845</v>
      </c>
      <c r="M263" t="s">
        <v>1794</v>
      </c>
      <c r="N263" t="s">
        <v>1794</v>
      </c>
      <c r="O263" t="s">
        <v>750</v>
      </c>
      <c r="P263" t="s">
        <v>1846</v>
      </c>
      <c r="Q263" s="2">
        <v>1000000</v>
      </c>
      <c r="R263" t="s">
        <v>1794</v>
      </c>
      <c r="S263">
        <v>707008495</v>
      </c>
      <c r="T263">
        <v>54</v>
      </c>
      <c r="U263" t="s">
        <v>959</v>
      </c>
      <c r="V263" t="s">
        <v>1840</v>
      </c>
      <c r="W263" t="s">
        <v>1841</v>
      </c>
      <c r="X263" t="s">
        <v>1839</v>
      </c>
      <c r="Y263" t="s">
        <v>1794</v>
      </c>
      <c r="Z263" s="1">
        <v>45321</v>
      </c>
      <c r="AA263">
        <v>1</v>
      </c>
    </row>
    <row r="264" spans="1:27">
      <c r="A264" t="s">
        <v>604</v>
      </c>
      <c r="B264">
        <v>268</v>
      </c>
      <c r="C264" t="s">
        <v>1847</v>
      </c>
      <c r="D264" t="e">
        <f>VLOOKUP('[1]tblclients (1)'!A264,[1]Feuil1!$A$1:$G$203,4,0)</f>
        <v>#N/A</v>
      </c>
      <c r="E264" t="s">
        <v>2281</v>
      </c>
      <c r="F264" t="s">
        <v>2127</v>
      </c>
      <c r="G264" t="s">
        <v>1843</v>
      </c>
      <c r="H264" t="s">
        <v>1851</v>
      </c>
      <c r="I264" t="s">
        <v>1850</v>
      </c>
      <c r="J264" t="s">
        <v>704</v>
      </c>
      <c r="K264" t="s">
        <v>677</v>
      </c>
      <c r="L264" t="s">
        <v>1852</v>
      </c>
      <c r="M264" t="s">
        <v>681</v>
      </c>
      <c r="N264" t="s">
        <v>681</v>
      </c>
      <c r="O264" t="s">
        <v>942</v>
      </c>
      <c r="P264" t="s">
        <v>681</v>
      </c>
      <c r="Q264" s="2">
        <v>5000000</v>
      </c>
      <c r="R264" t="s">
        <v>681</v>
      </c>
      <c r="S264">
        <v>788851789</v>
      </c>
      <c r="T264">
        <v>54</v>
      </c>
      <c r="U264" t="s">
        <v>1111</v>
      </c>
      <c r="V264" t="s">
        <v>1849</v>
      </c>
      <c r="W264" t="s">
        <v>681</v>
      </c>
      <c r="X264" t="s">
        <v>2282</v>
      </c>
      <c r="Y264" t="s">
        <v>681</v>
      </c>
      <c r="Z264" s="1">
        <v>45321</v>
      </c>
      <c r="AA264">
        <v>1</v>
      </c>
    </row>
    <row r="265" spans="1:27">
      <c r="A265" t="s">
        <v>2</v>
      </c>
      <c r="B265">
        <v>269</v>
      </c>
      <c r="C265" t="s">
        <v>3</v>
      </c>
      <c r="D265" t="e">
        <f>VLOOKUP('[1]tblclients (1)'!A265,[1]Feuil1!$A$1:$G$203,4,0)</f>
        <v>#N/A</v>
      </c>
      <c r="E265" t="s">
        <v>2283</v>
      </c>
      <c r="F265" t="s">
        <v>2139</v>
      </c>
      <c r="G265" t="s">
        <v>1857</v>
      </c>
      <c r="H265" t="s">
        <v>1858</v>
      </c>
      <c r="I265" t="s">
        <v>1855</v>
      </c>
      <c r="J265" t="s">
        <v>704</v>
      </c>
      <c r="K265" t="s">
        <v>677</v>
      </c>
      <c r="L265" t="s">
        <v>1859</v>
      </c>
      <c r="M265" t="s">
        <v>681</v>
      </c>
      <c r="N265" t="s">
        <v>681</v>
      </c>
      <c r="O265" t="s">
        <v>750</v>
      </c>
      <c r="P265" t="s">
        <v>1860</v>
      </c>
      <c r="Q265" s="2">
        <v>1000000</v>
      </c>
      <c r="R265" t="s">
        <v>1856</v>
      </c>
      <c r="S265" t="s">
        <v>2284</v>
      </c>
      <c r="T265">
        <v>54</v>
      </c>
      <c r="U265" t="s">
        <v>1111</v>
      </c>
      <c r="V265" t="s">
        <v>1854</v>
      </c>
      <c r="W265" t="s">
        <v>681</v>
      </c>
      <c r="X265" t="s">
        <v>1853</v>
      </c>
      <c r="Y265" t="s">
        <v>681</v>
      </c>
      <c r="Z265" s="1">
        <v>45321</v>
      </c>
      <c r="AA265">
        <v>1</v>
      </c>
    </row>
    <row r="266" spans="1:27">
      <c r="A266" t="s">
        <v>572</v>
      </c>
      <c r="B266">
        <v>271</v>
      </c>
      <c r="C266" t="s">
        <v>2285</v>
      </c>
      <c r="D266" t="e">
        <f>VLOOKUP('[1]tblclients (1)'!A266,[1]Feuil1!$A$1:$G$203,4,0)</f>
        <v>#N/A</v>
      </c>
      <c r="E266" t="s">
        <v>2285</v>
      </c>
      <c r="F266" t="s">
        <v>1861</v>
      </c>
      <c r="G266" t="s">
        <v>1857</v>
      </c>
      <c r="H266" t="s">
        <v>1865</v>
      </c>
      <c r="I266" t="s">
        <v>1864</v>
      </c>
      <c r="J266" t="s">
        <v>676</v>
      </c>
      <c r="K266" t="s">
        <v>677</v>
      </c>
      <c r="L266" t="s">
        <v>1866</v>
      </c>
      <c r="M266" t="s">
        <v>1867</v>
      </c>
      <c r="N266" t="s">
        <v>1868</v>
      </c>
      <c r="O266" t="s">
        <v>1869</v>
      </c>
      <c r="P266" t="s">
        <v>1870</v>
      </c>
      <c r="Q266" s="2">
        <v>1000000</v>
      </c>
      <c r="R266" t="s">
        <v>681</v>
      </c>
      <c r="S266">
        <v>2722438248</v>
      </c>
      <c r="T266">
        <v>54</v>
      </c>
      <c r="U266" t="s">
        <v>1416</v>
      </c>
      <c r="V266" t="s">
        <v>1862</v>
      </c>
      <c r="W266" t="s">
        <v>1863</v>
      </c>
      <c r="X266" t="s">
        <v>1862</v>
      </c>
      <c r="Y266" t="s">
        <v>681</v>
      </c>
      <c r="Z266" s="1">
        <v>44224</v>
      </c>
      <c r="AA266">
        <v>1</v>
      </c>
    </row>
    <row r="267" spans="1:27">
      <c r="A267" t="s">
        <v>1874</v>
      </c>
      <c r="B267">
        <v>272</v>
      </c>
      <c r="C267" t="s">
        <v>2286</v>
      </c>
      <c r="D267" t="e">
        <f>VLOOKUP('[1]tblclients (1)'!A267,[1]Feuil1!$A$1:$G$203,4,0)</f>
        <v>#N/A</v>
      </c>
      <c r="E267" t="s">
        <v>2286</v>
      </c>
      <c r="F267" t="s">
        <v>1872</v>
      </c>
      <c r="G267" t="s">
        <v>1875</v>
      </c>
      <c r="H267" t="s">
        <v>1876</v>
      </c>
      <c r="I267" t="s">
        <v>1873</v>
      </c>
      <c r="J267" t="s">
        <v>704</v>
      </c>
      <c r="K267" t="s">
        <v>677</v>
      </c>
      <c r="L267" t="s">
        <v>1877</v>
      </c>
      <c r="M267" t="s">
        <v>1878</v>
      </c>
      <c r="N267">
        <v>191</v>
      </c>
      <c r="O267" t="s">
        <v>746</v>
      </c>
      <c r="P267" t="s">
        <v>681</v>
      </c>
      <c r="Q267" t="s">
        <v>681</v>
      </c>
      <c r="R267" t="s">
        <v>681</v>
      </c>
      <c r="S267" t="s">
        <v>2287</v>
      </c>
      <c r="T267">
        <v>54</v>
      </c>
      <c r="U267" t="s">
        <v>1416</v>
      </c>
      <c r="V267" t="s">
        <v>681</v>
      </c>
      <c r="W267" t="s">
        <v>681</v>
      </c>
      <c r="X267" t="s">
        <v>1871</v>
      </c>
      <c r="Y267" t="s">
        <v>681</v>
      </c>
      <c r="Z267" s="1">
        <v>43859</v>
      </c>
      <c r="AA267">
        <v>1</v>
      </c>
    </row>
    <row r="268" spans="1:27">
      <c r="A268" t="s">
        <v>338</v>
      </c>
      <c r="B268">
        <v>273</v>
      </c>
      <c r="C268" t="s">
        <v>1879</v>
      </c>
      <c r="D268" t="e">
        <f>VLOOKUP('[1]tblclients (1)'!A268,[1]Feuil1!$A$1:$G$203,4,0)</f>
        <v>#N/A</v>
      </c>
      <c r="E268" t="s">
        <v>2288</v>
      </c>
      <c r="F268" t="s">
        <v>2139</v>
      </c>
      <c r="G268" t="s">
        <v>1883</v>
      </c>
      <c r="H268" t="s">
        <v>1884</v>
      </c>
      <c r="I268" t="s">
        <v>1882</v>
      </c>
      <c r="J268" t="s">
        <v>704</v>
      </c>
      <c r="K268" t="s">
        <v>712</v>
      </c>
      <c r="L268" t="s">
        <v>1885</v>
      </c>
      <c r="M268" t="s">
        <v>1886</v>
      </c>
      <c r="N268">
        <v>526</v>
      </c>
      <c r="O268" t="s">
        <v>1222</v>
      </c>
      <c r="P268" t="s">
        <v>910</v>
      </c>
      <c r="Q268" s="2">
        <v>10000000</v>
      </c>
      <c r="R268" t="s">
        <v>681</v>
      </c>
      <c r="S268">
        <v>2242322216</v>
      </c>
      <c r="T268">
        <v>54</v>
      </c>
      <c r="U268" t="s">
        <v>1111</v>
      </c>
      <c r="V268" t="s">
        <v>1880</v>
      </c>
      <c r="W268" t="s">
        <v>1881</v>
      </c>
      <c r="X268" t="s">
        <v>788</v>
      </c>
      <c r="Y268" t="s">
        <v>681</v>
      </c>
      <c r="Z268" s="1">
        <v>44224</v>
      </c>
      <c r="AA268">
        <v>1</v>
      </c>
    </row>
    <row r="269" spans="1:27">
      <c r="A269" t="s">
        <v>628</v>
      </c>
      <c r="B269">
        <v>274</v>
      </c>
      <c r="C269" t="s">
        <v>1887</v>
      </c>
      <c r="D269" t="e">
        <f>VLOOKUP('[1]tblclients (1)'!A269,[1]Feuil1!$A$1:$G$203,4,0)</f>
        <v>#N/A</v>
      </c>
      <c r="E269" t="s">
        <v>2289</v>
      </c>
      <c r="F269" t="s">
        <v>882</v>
      </c>
      <c r="G269" t="s">
        <v>1891</v>
      </c>
      <c r="H269" t="s">
        <v>1892</v>
      </c>
      <c r="I269" t="s">
        <v>1890</v>
      </c>
      <c r="J269" t="s">
        <v>704</v>
      </c>
      <c r="K269" t="s">
        <v>712</v>
      </c>
      <c r="L269" t="s">
        <v>1893</v>
      </c>
      <c r="O269" t="s">
        <v>1222</v>
      </c>
      <c r="Q269">
        <v>1000000</v>
      </c>
      <c r="S269">
        <v>748561030</v>
      </c>
      <c r="T269">
        <v>54</v>
      </c>
      <c r="U269" t="s">
        <v>1111</v>
      </c>
      <c r="V269" t="s">
        <v>1889</v>
      </c>
      <c r="X269" t="s">
        <v>1888</v>
      </c>
      <c r="Z269" s="1">
        <v>45322</v>
      </c>
      <c r="AA269">
        <v>1</v>
      </c>
    </row>
    <row r="270" spans="1:27">
      <c r="A270" t="s">
        <v>490</v>
      </c>
      <c r="B270">
        <v>275</v>
      </c>
      <c r="C270" t="s">
        <v>1894</v>
      </c>
      <c r="D270" t="e">
        <f>VLOOKUP('[1]tblclients (1)'!A270,[1]Feuil1!$A$1:$G$203,4,0)</f>
        <v>#N/A</v>
      </c>
      <c r="E270" t="s">
        <v>1894</v>
      </c>
      <c r="F270" t="s">
        <v>2125</v>
      </c>
      <c r="G270" t="s">
        <v>1897</v>
      </c>
      <c r="H270" t="s">
        <v>1018</v>
      </c>
      <c r="I270" t="s">
        <v>1896</v>
      </c>
      <c r="J270" t="s">
        <v>676</v>
      </c>
      <c r="K270" t="s">
        <v>677</v>
      </c>
      <c r="L270" t="s">
        <v>1898</v>
      </c>
      <c r="M270" t="s">
        <v>681</v>
      </c>
      <c r="N270" t="s">
        <v>681</v>
      </c>
      <c r="P270" t="s">
        <v>1369</v>
      </c>
      <c r="Q270" s="2">
        <v>1000000</v>
      </c>
      <c r="R270" t="s">
        <v>681</v>
      </c>
      <c r="S270">
        <v>709131395</v>
      </c>
      <c r="T270">
        <v>54</v>
      </c>
      <c r="U270" t="s">
        <v>959</v>
      </c>
      <c r="W270" t="s">
        <v>681</v>
      </c>
      <c r="X270" t="s">
        <v>1895</v>
      </c>
      <c r="Y270" t="s">
        <v>681</v>
      </c>
      <c r="Z270" s="1">
        <v>44760</v>
      </c>
      <c r="AA270">
        <v>1</v>
      </c>
    </row>
    <row r="271" spans="1:27">
      <c r="A271" t="s">
        <v>1902</v>
      </c>
      <c r="B271">
        <v>276</v>
      </c>
      <c r="C271" t="s">
        <v>1899</v>
      </c>
      <c r="D271" t="e">
        <f>VLOOKUP('[1]tblclients (1)'!A271,[1]Feuil1!$A$1:$G$203,4,0)</f>
        <v>#N/A</v>
      </c>
      <c r="E271" t="s">
        <v>2290</v>
      </c>
      <c r="F271" t="s">
        <v>882</v>
      </c>
      <c r="G271" t="s">
        <v>1903</v>
      </c>
      <c r="H271" t="s">
        <v>1904</v>
      </c>
      <c r="I271" t="s">
        <v>1901</v>
      </c>
      <c r="J271" t="s">
        <v>704</v>
      </c>
      <c r="K271" t="s">
        <v>677</v>
      </c>
      <c r="L271" t="s">
        <v>1905</v>
      </c>
      <c r="O271" t="s">
        <v>1222</v>
      </c>
      <c r="P271" t="s">
        <v>1906</v>
      </c>
      <c r="Q271">
        <v>5000000</v>
      </c>
      <c r="S271">
        <v>788881313</v>
      </c>
      <c r="T271">
        <v>54</v>
      </c>
      <c r="U271" t="s">
        <v>1111</v>
      </c>
      <c r="X271" t="s">
        <v>1900</v>
      </c>
      <c r="Z271" s="1">
        <v>45322</v>
      </c>
      <c r="AA271">
        <v>1</v>
      </c>
    </row>
    <row r="272" spans="1:27">
      <c r="A272" t="s">
        <v>287</v>
      </c>
      <c r="B272">
        <v>277</v>
      </c>
      <c r="C272" t="s">
        <v>288</v>
      </c>
      <c r="D272" t="e">
        <f>VLOOKUP('[1]tblclients (1)'!A272,[1]Feuil1!$A$1:$G$203,4,0)</f>
        <v>#N/A</v>
      </c>
      <c r="E272" t="s">
        <v>2291</v>
      </c>
      <c r="F272" t="s">
        <v>2139</v>
      </c>
      <c r="G272" t="s">
        <v>1912</v>
      </c>
      <c r="H272" t="s">
        <v>1913</v>
      </c>
      <c r="I272" t="s">
        <v>1910</v>
      </c>
      <c r="J272" t="s">
        <v>704</v>
      </c>
      <c r="K272" t="s">
        <v>677</v>
      </c>
      <c r="L272" t="s">
        <v>2292</v>
      </c>
      <c r="M272" t="s">
        <v>681</v>
      </c>
      <c r="N272" t="s">
        <v>681</v>
      </c>
      <c r="O272" t="s">
        <v>692</v>
      </c>
      <c r="P272" t="s">
        <v>681</v>
      </c>
      <c r="Q272" s="2">
        <v>6000000</v>
      </c>
      <c r="R272" t="s">
        <v>1911</v>
      </c>
      <c r="S272" t="s">
        <v>2293</v>
      </c>
      <c r="T272">
        <v>54</v>
      </c>
      <c r="U272" t="s">
        <v>1111</v>
      </c>
      <c r="V272" t="s">
        <v>1908</v>
      </c>
      <c r="W272" t="s">
        <v>1909</v>
      </c>
      <c r="X272" t="s">
        <v>2294</v>
      </c>
      <c r="Y272" t="s">
        <v>681</v>
      </c>
      <c r="Z272" s="1">
        <v>45322</v>
      </c>
      <c r="AA272">
        <v>1</v>
      </c>
    </row>
    <row r="273" spans="1:27">
      <c r="A273" t="s">
        <v>370</v>
      </c>
      <c r="B273">
        <v>278</v>
      </c>
      <c r="C273" t="s">
        <v>371</v>
      </c>
      <c r="D273" t="e">
        <f>VLOOKUP('[1]tblclients (1)'!A273,[1]Feuil1!$A$1:$G$203,4,0)</f>
        <v>#N/A</v>
      </c>
      <c r="E273" t="s">
        <v>2295</v>
      </c>
      <c r="F273" t="s">
        <v>2296</v>
      </c>
      <c r="G273" t="s">
        <v>1919</v>
      </c>
      <c r="H273" t="s">
        <v>1920</v>
      </c>
      <c r="I273" t="s">
        <v>1917</v>
      </c>
      <c r="J273" t="s">
        <v>704</v>
      </c>
      <c r="K273" t="s">
        <v>677</v>
      </c>
      <c r="L273" t="s">
        <v>1921</v>
      </c>
      <c r="M273" t="s">
        <v>1770</v>
      </c>
      <c r="N273">
        <v>322</v>
      </c>
      <c r="O273" t="s">
        <v>1222</v>
      </c>
      <c r="P273" t="s">
        <v>1922</v>
      </c>
      <c r="Q273" t="s">
        <v>2297</v>
      </c>
      <c r="R273" t="s">
        <v>1918</v>
      </c>
      <c r="S273" t="s">
        <v>2298</v>
      </c>
      <c r="T273">
        <v>54</v>
      </c>
      <c r="U273" t="s">
        <v>2299</v>
      </c>
      <c r="V273" t="s">
        <v>1915</v>
      </c>
      <c r="W273" t="s">
        <v>1916</v>
      </c>
      <c r="X273" t="s">
        <v>1914</v>
      </c>
      <c r="Y273" t="s">
        <v>681</v>
      </c>
      <c r="Z273" s="1">
        <v>45322</v>
      </c>
      <c r="AA273">
        <v>1</v>
      </c>
    </row>
    <row r="274" spans="1:27">
      <c r="A274" t="s">
        <v>642</v>
      </c>
      <c r="B274">
        <v>279</v>
      </c>
      <c r="C274" t="s">
        <v>643</v>
      </c>
      <c r="D274" t="e">
        <f>VLOOKUP('[1]tblclients (1)'!A274,[1]Feuil1!$A$1:$G$203,4,0)</f>
        <v>#N/A</v>
      </c>
      <c r="E274" t="s">
        <v>2300</v>
      </c>
      <c r="F274" t="s">
        <v>2139</v>
      </c>
      <c r="G274" t="s">
        <v>1919</v>
      </c>
      <c r="H274" t="s">
        <v>1927</v>
      </c>
      <c r="I274" t="s">
        <v>1925</v>
      </c>
      <c r="J274" t="s">
        <v>704</v>
      </c>
      <c r="K274" t="s">
        <v>677</v>
      </c>
      <c r="L274" t="s">
        <v>1928</v>
      </c>
      <c r="M274" t="s">
        <v>1929</v>
      </c>
      <c r="N274">
        <v>855</v>
      </c>
      <c r="O274" t="s">
        <v>692</v>
      </c>
      <c r="P274" t="s">
        <v>870</v>
      </c>
      <c r="Q274" s="2">
        <v>1000000</v>
      </c>
      <c r="R274" t="s">
        <v>1926</v>
      </c>
      <c r="S274" t="s">
        <v>2301</v>
      </c>
      <c r="T274">
        <v>54</v>
      </c>
      <c r="U274" t="s">
        <v>1111</v>
      </c>
      <c r="V274" t="s">
        <v>1923</v>
      </c>
      <c r="W274" t="s">
        <v>1924</v>
      </c>
      <c r="X274" t="s">
        <v>912</v>
      </c>
      <c r="Y274" t="s">
        <v>681</v>
      </c>
      <c r="Z274" s="1">
        <v>45322</v>
      </c>
      <c r="AA274">
        <v>1</v>
      </c>
    </row>
    <row r="275" spans="1:27">
      <c r="A275" t="s">
        <v>1935</v>
      </c>
      <c r="B275">
        <v>280</v>
      </c>
      <c r="C275" t="s">
        <v>1930</v>
      </c>
      <c r="D275" t="e">
        <f>VLOOKUP('[1]tblclients (1)'!A275,[1]Feuil1!$A$1:$G$203,4,0)</f>
        <v>#N/A</v>
      </c>
      <c r="E275" t="s">
        <v>2302</v>
      </c>
      <c r="F275" t="s">
        <v>2303</v>
      </c>
      <c r="G275" t="s">
        <v>1936</v>
      </c>
      <c r="H275" t="s">
        <v>1937</v>
      </c>
      <c r="I275" t="s">
        <v>1934</v>
      </c>
      <c r="J275" t="s">
        <v>704</v>
      </c>
      <c r="K275" t="s">
        <v>677</v>
      </c>
      <c r="L275" t="s">
        <v>1938</v>
      </c>
      <c r="M275" t="s">
        <v>681</v>
      </c>
      <c r="N275" t="s">
        <v>681</v>
      </c>
      <c r="O275" t="s">
        <v>742</v>
      </c>
      <c r="P275" t="s">
        <v>1939</v>
      </c>
      <c r="Q275" s="2">
        <v>5000000</v>
      </c>
      <c r="R275" t="s">
        <v>681</v>
      </c>
      <c r="S275" t="s">
        <v>2304</v>
      </c>
      <c r="T275">
        <v>54</v>
      </c>
      <c r="U275" t="s">
        <v>1416</v>
      </c>
      <c r="V275" t="s">
        <v>1932</v>
      </c>
      <c r="W275" t="s">
        <v>1933</v>
      </c>
      <c r="X275" t="s">
        <v>1931</v>
      </c>
      <c r="Y275" t="s">
        <v>681</v>
      </c>
      <c r="Z275" s="1">
        <v>45322</v>
      </c>
      <c r="AA275">
        <v>1</v>
      </c>
    </row>
    <row r="276" spans="1:27">
      <c r="A276" t="s">
        <v>38</v>
      </c>
      <c r="B276">
        <v>281</v>
      </c>
      <c r="C276" t="s">
        <v>39</v>
      </c>
      <c r="D276" t="e">
        <f>VLOOKUP('[1]tblclients (1)'!A276,[1]Feuil1!$A$1:$G$203,4,0)</f>
        <v>#N/A</v>
      </c>
      <c r="E276" t="s">
        <v>2305</v>
      </c>
      <c r="F276" t="s">
        <v>2296</v>
      </c>
      <c r="G276" t="s">
        <v>1943</v>
      </c>
      <c r="H276" t="s">
        <v>1944</v>
      </c>
      <c r="I276" t="s">
        <v>1942</v>
      </c>
      <c r="J276" t="s">
        <v>704</v>
      </c>
      <c r="K276" t="s">
        <v>677</v>
      </c>
      <c r="L276" t="s">
        <v>1945</v>
      </c>
      <c r="M276" t="s">
        <v>1946</v>
      </c>
      <c r="N276">
        <v>1054</v>
      </c>
      <c r="O276" t="s">
        <v>687</v>
      </c>
      <c r="P276" t="s">
        <v>889</v>
      </c>
      <c r="Q276" t="s">
        <v>2306</v>
      </c>
      <c r="R276" t="s">
        <v>681</v>
      </c>
      <c r="S276" t="s">
        <v>2307</v>
      </c>
      <c r="T276">
        <v>54</v>
      </c>
      <c r="U276" t="s">
        <v>1416</v>
      </c>
      <c r="V276" t="s">
        <v>1941</v>
      </c>
      <c r="W276" t="s">
        <v>681</v>
      </c>
      <c r="X276" t="s">
        <v>1940</v>
      </c>
      <c r="Y276" t="s">
        <v>681</v>
      </c>
      <c r="Z276" s="1">
        <v>45322</v>
      </c>
      <c r="AA276">
        <v>1</v>
      </c>
    </row>
    <row r="277" spans="1:27">
      <c r="A277" t="s">
        <v>72</v>
      </c>
      <c r="B277">
        <v>282</v>
      </c>
      <c r="C277" t="s">
        <v>1947</v>
      </c>
      <c r="D277" t="e">
        <f>VLOOKUP('[1]tblclients (1)'!A277,[1]Feuil1!$A$1:$G$203,4,0)</f>
        <v>#N/A</v>
      </c>
      <c r="E277" t="s">
        <v>2308</v>
      </c>
      <c r="F277" t="s">
        <v>2127</v>
      </c>
      <c r="G277" t="s">
        <v>1943</v>
      </c>
      <c r="H277" t="s">
        <v>1953</v>
      </c>
      <c r="I277" t="s">
        <v>1951</v>
      </c>
      <c r="J277" t="s">
        <v>704</v>
      </c>
      <c r="K277" t="s">
        <v>677</v>
      </c>
      <c r="L277" t="s">
        <v>1954</v>
      </c>
      <c r="M277" t="s">
        <v>1955</v>
      </c>
      <c r="N277">
        <v>99</v>
      </c>
      <c r="O277" t="s">
        <v>1222</v>
      </c>
      <c r="P277" t="s">
        <v>1369</v>
      </c>
      <c r="Q277" s="2">
        <v>1000000</v>
      </c>
      <c r="R277" t="s">
        <v>1952</v>
      </c>
      <c r="S277" t="s">
        <v>2309</v>
      </c>
      <c r="T277">
        <v>54</v>
      </c>
      <c r="U277" t="s">
        <v>1416</v>
      </c>
      <c r="V277" t="s">
        <v>1949</v>
      </c>
      <c r="W277" t="s">
        <v>1950</v>
      </c>
      <c r="X277" t="s">
        <v>1948</v>
      </c>
      <c r="Y277" t="s">
        <v>681</v>
      </c>
      <c r="Z277" s="1">
        <v>45322</v>
      </c>
      <c r="AA277">
        <v>1</v>
      </c>
    </row>
    <row r="278" spans="1:27">
      <c r="A278" t="s">
        <v>354</v>
      </c>
      <c r="B278">
        <v>283</v>
      </c>
      <c r="C278" t="s">
        <v>1956</v>
      </c>
      <c r="D278" t="e">
        <f>VLOOKUP('[1]tblclients (1)'!A278,[1]Feuil1!$A$1:$G$203,4,0)</f>
        <v>#N/A</v>
      </c>
      <c r="E278" t="s">
        <v>2310</v>
      </c>
      <c r="F278" t="s">
        <v>2122</v>
      </c>
      <c r="G278" t="s">
        <v>1958</v>
      </c>
      <c r="H278" t="s">
        <v>1959</v>
      </c>
      <c r="I278" t="s">
        <v>1957</v>
      </c>
      <c r="J278" t="s">
        <v>676</v>
      </c>
      <c r="K278" t="s">
        <v>677</v>
      </c>
      <c r="L278" t="s">
        <v>1960</v>
      </c>
      <c r="M278" t="s">
        <v>681</v>
      </c>
      <c r="N278" t="s">
        <v>681</v>
      </c>
      <c r="O278" t="s">
        <v>1222</v>
      </c>
      <c r="P278" t="s">
        <v>681</v>
      </c>
      <c r="Q278" s="2">
        <v>1000000</v>
      </c>
      <c r="R278" t="s">
        <v>681</v>
      </c>
      <c r="S278">
        <v>788881313</v>
      </c>
      <c r="T278">
        <v>54</v>
      </c>
      <c r="U278" t="s">
        <v>1111</v>
      </c>
      <c r="V278" t="s">
        <v>681</v>
      </c>
      <c r="W278" t="s">
        <v>681</v>
      </c>
      <c r="X278" t="s">
        <v>770</v>
      </c>
      <c r="Y278" t="s">
        <v>681</v>
      </c>
      <c r="Z278" s="1">
        <v>45322</v>
      </c>
      <c r="AA278">
        <v>1</v>
      </c>
    </row>
    <row r="279" spans="1:27">
      <c r="A279" t="s">
        <v>269</v>
      </c>
      <c r="B279">
        <v>284</v>
      </c>
      <c r="C279" t="s">
        <v>1961</v>
      </c>
      <c r="D279" t="e">
        <f>VLOOKUP('[1]tblclients (1)'!A279,[1]Feuil1!$A$1:$G$203,4,0)</f>
        <v>#N/A</v>
      </c>
      <c r="E279" t="s">
        <v>2311</v>
      </c>
      <c r="F279" t="s">
        <v>2125</v>
      </c>
      <c r="G279" t="s">
        <v>1964</v>
      </c>
      <c r="H279" t="s">
        <v>1965</v>
      </c>
      <c r="I279" t="s">
        <v>1963</v>
      </c>
      <c r="J279" t="s">
        <v>676</v>
      </c>
      <c r="K279" t="s">
        <v>677</v>
      </c>
      <c r="L279" t="s">
        <v>1966</v>
      </c>
      <c r="M279" t="s">
        <v>681</v>
      </c>
      <c r="N279" t="s">
        <v>681</v>
      </c>
      <c r="O279" t="s">
        <v>1222</v>
      </c>
      <c r="P279" t="s">
        <v>681</v>
      </c>
      <c r="Q279" s="2">
        <v>1000000</v>
      </c>
      <c r="R279" t="s">
        <v>681</v>
      </c>
      <c r="S279">
        <v>788881313</v>
      </c>
      <c r="T279">
        <v>54</v>
      </c>
      <c r="U279" t="s">
        <v>1111</v>
      </c>
      <c r="V279" t="s">
        <v>681</v>
      </c>
      <c r="W279" t="s">
        <v>681</v>
      </c>
      <c r="X279" t="s">
        <v>1962</v>
      </c>
      <c r="Y279" t="s">
        <v>681</v>
      </c>
      <c r="Z279" s="1">
        <v>45322</v>
      </c>
      <c r="AA279">
        <v>1</v>
      </c>
    </row>
    <row r="280" spans="1:27">
      <c r="A280" t="s">
        <v>366</v>
      </c>
      <c r="B280">
        <v>285</v>
      </c>
      <c r="C280" t="s">
        <v>1967</v>
      </c>
      <c r="D280" t="e">
        <f>VLOOKUP('[1]tblclients (1)'!A280,[1]Feuil1!$A$1:$G$203,4,0)</f>
        <v>#N/A</v>
      </c>
      <c r="E280" t="s">
        <v>2312</v>
      </c>
      <c r="F280" t="s">
        <v>882</v>
      </c>
      <c r="G280" t="s">
        <v>1970</v>
      </c>
      <c r="H280" t="s">
        <v>1971</v>
      </c>
      <c r="I280" t="s">
        <v>1969</v>
      </c>
      <c r="J280" t="s">
        <v>704</v>
      </c>
      <c r="K280" t="s">
        <v>677</v>
      </c>
      <c r="L280" t="s">
        <v>1599</v>
      </c>
      <c r="M280" t="s">
        <v>1972</v>
      </c>
      <c r="N280">
        <v>23</v>
      </c>
      <c r="O280" t="s">
        <v>942</v>
      </c>
      <c r="P280" t="s">
        <v>1454</v>
      </c>
      <c r="Q280">
        <v>1000000</v>
      </c>
      <c r="S280">
        <v>102916249</v>
      </c>
      <c r="T280">
        <v>54</v>
      </c>
      <c r="U280" t="s">
        <v>1111</v>
      </c>
      <c r="V280" t="s">
        <v>1968</v>
      </c>
      <c r="X280" t="s">
        <v>959</v>
      </c>
      <c r="Z280" s="1">
        <v>45322</v>
      </c>
      <c r="AA280">
        <v>1</v>
      </c>
    </row>
    <row r="281" spans="1:27">
      <c r="A281" t="s">
        <v>179</v>
      </c>
      <c r="B281">
        <v>286</v>
      </c>
      <c r="C281" t="s">
        <v>180</v>
      </c>
      <c r="D281" t="e">
        <f>VLOOKUP('[1]tblclients (1)'!A281,[1]Feuil1!$A$1:$G$203,4,0)</f>
        <v>#N/A</v>
      </c>
      <c r="E281" t="s">
        <v>2313</v>
      </c>
      <c r="F281" t="s">
        <v>2314</v>
      </c>
      <c r="G281" t="s">
        <v>2315</v>
      </c>
      <c r="H281" t="s">
        <v>2316</v>
      </c>
      <c r="I281" t="s">
        <v>1975</v>
      </c>
      <c r="J281" t="s">
        <v>917</v>
      </c>
      <c r="K281" t="s">
        <v>712</v>
      </c>
      <c r="L281" t="s">
        <v>2317</v>
      </c>
      <c r="M281" t="s">
        <v>1976</v>
      </c>
      <c r="N281">
        <v>161</v>
      </c>
      <c r="O281" t="s">
        <v>834</v>
      </c>
      <c r="P281" t="s">
        <v>1551</v>
      </c>
      <c r="Q281">
        <v>10000000</v>
      </c>
      <c r="S281">
        <v>708455274</v>
      </c>
      <c r="T281">
        <v>54</v>
      </c>
      <c r="U281" t="s">
        <v>1111</v>
      </c>
      <c r="V281" t="s">
        <v>1974</v>
      </c>
      <c r="X281" t="s">
        <v>1973</v>
      </c>
      <c r="Z281" s="1">
        <v>45321</v>
      </c>
      <c r="AA281">
        <v>1</v>
      </c>
    </row>
    <row r="282" spans="1:27">
      <c r="A282" t="s">
        <v>396</v>
      </c>
      <c r="B282">
        <v>287</v>
      </c>
      <c r="C282" t="s">
        <v>397</v>
      </c>
      <c r="D282" t="e">
        <f>VLOOKUP('[1]tblclients (1)'!A282,[1]Feuil1!$A$1:$G$203,4,0)</f>
        <v>#N/A</v>
      </c>
      <c r="E282" t="s">
        <v>2318</v>
      </c>
      <c r="F282" t="s">
        <v>882</v>
      </c>
      <c r="G282" t="s">
        <v>2319</v>
      </c>
      <c r="H282" t="s">
        <v>2320</v>
      </c>
      <c r="I282" t="s">
        <v>1979</v>
      </c>
      <c r="J282" t="s">
        <v>704</v>
      </c>
      <c r="K282" t="s">
        <v>677</v>
      </c>
      <c r="L282" t="s">
        <v>1982</v>
      </c>
      <c r="O282" t="s">
        <v>746</v>
      </c>
      <c r="R282" t="s">
        <v>1980</v>
      </c>
      <c r="S282">
        <v>101939323</v>
      </c>
      <c r="T282">
        <v>54</v>
      </c>
      <c r="U282" t="s">
        <v>673</v>
      </c>
      <c r="V282" t="s">
        <v>1978</v>
      </c>
      <c r="X282" t="s">
        <v>1977</v>
      </c>
      <c r="Z282" s="1">
        <v>45321</v>
      </c>
      <c r="AA282">
        <v>1</v>
      </c>
    </row>
    <row r="283" spans="1:27">
      <c r="A283" t="s">
        <v>394</v>
      </c>
      <c r="B283">
        <v>288</v>
      </c>
      <c r="C283" t="s">
        <v>395</v>
      </c>
      <c r="D283" t="e">
        <f>VLOOKUP('[1]tblclients (1)'!A283,[1]Feuil1!$A$1:$G$203,4,0)</f>
        <v>#N/A</v>
      </c>
      <c r="E283" t="s">
        <v>2321</v>
      </c>
      <c r="F283" t="s">
        <v>882</v>
      </c>
      <c r="G283" t="s">
        <v>2322</v>
      </c>
      <c r="H283" t="s">
        <v>2323</v>
      </c>
      <c r="I283" t="s">
        <v>1985</v>
      </c>
      <c r="J283" t="s">
        <v>704</v>
      </c>
      <c r="K283" t="s">
        <v>677</v>
      </c>
      <c r="L283" t="s">
        <v>1987</v>
      </c>
      <c r="M283" t="s">
        <v>1988</v>
      </c>
      <c r="N283">
        <v>34</v>
      </c>
      <c r="P283" t="s">
        <v>769</v>
      </c>
      <c r="Q283">
        <v>1500000</v>
      </c>
      <c r="S283">
        <v>707530941</v>
      </c>
      <c r="T283">
        <v>54</v>
      </c>
      <c r="U283" t="s">
        <v>1111</v>
      </c>
      <c r="V283" t="s">
        <v>1984</v>
      </c>
      <c r="X283" t="s">
        <v>1983</v>
      </c>
      <c r="Z283" s="1">
        <v>45321</v>
      </c>
      <c r="AA283">
        <v>1</v>
      </c>
    </row>
    <row r="284" spans="1:27">
      <c r="A284" t="s">
        <v>66</v>
      </c>
      <c r="B284">
        <v>289</v>
      </c>
      <c r="C284" t="s">
        <v>67</v>
      </c>
      <c r="D284" t="e">
        <f>VLOOKUP('[1]tblclients (1)'!A284,[1]Feuil1!$A$1:$G$203,4,0)</f>
        <v>#N/A</v>
      </c>
      <c r="E284" t="s">
        <v>2325</v>
      </c>
      <c r="F284" t="s">
        <v>1361</v>
      </c>
      <c r="G284" t="s">
        <v>2326</v>
      </c>
      <c r="H284" t="s">
        <v>2327</v>
      </c>
      <c r="I284" t="s">
        <v>1991</v>
      </c>
      <c r="J284" t="s">
        <v>704</v>
      </c>
      <c r="K284" t="s">
        <v>677</v>
      </c>
      <c r="L284" t="s">
        <v>1992</v>
      </c>
      <c r="M284" t="s">
        <v>1993</v>
      </c>
      <c r="N284">
        <v>44</v>
      </c>
      <c r="O284" t="s">
        <v>750</v>
      </c>
      <c r="P284" t="s">
        <v>910</v>
      </c>
      <c r="Q284">
        <v>5000000</v>
      </c>
      <c r="S284">
        <v>142900455</v>
      </c>
      <c r="T284">
        <v>54</v>
      </c>
      <c r="U284" t="s">
        <v>1111</v>
      </c>
      <c r="V284" t="s">
        <v>1990</v>
      </c>
      <c r="X284" t="s">
        <v>1989</v>
      </c>
      <c r="Z284" s="1">
        <v>45321</v>
      </c>
      <c r="AA284">
        <v>1</v>
      </c>
    </row>
    <row r="285" spans="1:27">
      <c r="A285" t="s">
        <v>177</v>
      </c>
      <c r="B285">
        <v>290</v>
      </c>
      <c r="C285" t="s">
        <v>178</v>
      </c>
      <c r="D285" t="e">
        <f>VLOOKUP('[1]tblclients (1)'!A285,[1]Feuil1!$A$1:$G$203,4,0)</f>
        <v>#N/A</v>
      </c>
      <c r="E285" t="s">
        <v>2328</v>
      </c>
      <c r="F285" t="s">
        <v>2139</v>
      </c>
      <c r="G285" t="s">
        <v>2329</v>
      </c>
      <c r="H285" t="s">
        <v>2330</v>
      </c>
      <c r="I285" t="s">
        <v>1996</v>
      </c>
      <c r="J285" t="s">
        <v>704</v>
      </c>
      <c r="K285" t="s">
        <v>677</v>
      </c>
      <c r="L285" t="s">
        <v>2331</v>
      </c>
      <c r="M285" t="s">
        <v>1997</v>
      </c>
      <c r="N285">
        <v>228</v>
      </c>
      <c r="O285" t="s">
        <v>750</v>
      </c>
      <c r="P285" t="s">
        <v>1998</v>
      </c>
      <c r="Q285" s="2">
        <v>1000000</v>
      </c>
      <c r="R285" t="s">
        <v>681</v>
      </c>
      <c r="S285">
        <v>708152404</v>
      </c>
      <c r="T285">
        <v>54</v>
      </c>
      <c r="U285" t="s">
        <v>1111</v>
      </c>
      <c r="V285" t="s">
        <v>1995</v>
      </c>
      <c r="W285" t="s">
        <v>681</v>
      </c>
      <c r="X285" t="s">
        <v>1994</v>
      </c>
      <c r="Y285" t="s">
        <v>681</v>
      </c>
      <c r="Z285" s="1">
        <v>45321</v>
      </c>
      <c r="AA285">
        <v>1</v>
      </c>
    </row>
    <row r="286" spans="1:27">
      <c r="A286" t="s">
        <v>2001</v>
      </c>
      <c r="B286">
        <v>291</v>
      </c>
      <c r="C286" t="s">
        <v>1999</v>
      </c>
      <c r="D286" t="e">
        <f>VLOOKUP('[1]tblclients (1)'!A286,[1]Feuil1!$A$1:$G$203,4,0)</f>
        <v>#N/A</v>
      </c>
      <c r="E286" t="s">
        <v>2332</v>
      </c>
      <c r="F286" t="s">
        <v>2125</v>
      </c>
      <c r="G286" t="s">
        <v>2333</v>
      </c>
      <c r="H286" t="s">
        <v>2334</v>
      </c>
      <c r="I286" t="s">
        <v>2000</v>
      </c>
      <c r="J286" t="s">
        <v>676</v>
      </c>
      <c r="K286" t="s">
        <v>677</v>
      </c>
      <c r="L286" t="s">
        <v>2002</v>
      </c>
      <c r="M286" t="s">
        <v>681</v>
      </c>
      <c r="N286" t="s">
        <v>681</v>
      </c>
      <c r="O286" t="s">
        <v>942</v>
      </c>
      <c r="P286" t="s">
        <v>2003</v>
      </c>
      <c r="Q286">
        <v>0</v>
      </c>
      <c r="R286" t="s">
        <v>681</v>
      </c>
      <c r="S286">
        <v>707569425</v>
      </c>
      <c r="T286">
        <v>54</v>
      </c>
      <c r="U286" t="s">
        <v>959</v>
      </c>
      <c r="V286" t="s">
        <v>681</v>
      </c>
      <c r="W286" t="s">
        <v>681</v>
      </c>
      <c r="X286" t="s">
        <v>1828</v>
      </c>
      <c r="Y286" t="s">
        <v>681</v>
      </c>
      <c r="Z286" s="1">
        <v>45321</v>
      </c>
      <c r="AA286">
        <v>1</v>
      </c>
    </row>
    <row r="287" spans="1:27">
      <c r="A287" t="s">
        <v>648</v>
      </c>
      <c r="B287">
        <v>292</v>
      </c>
      <c r="C287" t="s">
        <v>2335</v>
      </c>
      <c r="D287" t="e">
        <f>VLOOKUP('[1]tblclients (1)'!A287,[1]Feuil1!$A$1:$G$203,4,0)</f>
        <v>#N/A</v>
      </c>
      <c r="E287" t="s">
        <v>2004</v>
      </c>
      <c r="F287" t="s">
        <v>1388</v>
      </c>
      <c r="G287" t="s">
        <v>2336</v>
      </c>
      <c r="H287" t="s">
        <v>2337</v>
      </c>
      <c r="I287" t="s">
        <v>2007</v>
      </c>
      <c r="J287" t="s">
        <v>676</v>
      </c>
      <c r="K287" t="s">
        <v>677</v>
      </c>
      <c r="L287" t="s">
        <v>2009</v>
      </c>
      <c r="O287" t="s">
        <v>834</v>
      </c>
      <c r="P287" t="s">
        <v>925</v>
      </c>
      <c r="S287">
        <v>707866748</v>
      </c>
      <c r="T287">
        <v>54</v>
      </c>
      <c r="U287" t="s">
        <v>1111</v>
      </c>
      <c r="V287" t="s">
        <v>2006</v>
      </c>
      <c r="X287" t="s">
        <v>2005</v>
      </c>
      <c r="Z287" s="1">
        <v>45321</v>
      </c>
      <c r="AA287">
        <v>1</v>
      </c>
    </row>
    <row r="288" spans="1:27">
      <c r="A288" t="s">
        <v>162</v>
      </c>
      <c r="B288">
        <v>293</v>
      </c>
      <c r="C288" t="s">
        <v>2010</v>
      </c>
      <c r="D288" t="e">
        <f>VLOOKUP('[1]tblclients (1)'!A288,[1]Feuil1!$A$1:$G$203,4,0)</f>
        <v>#N/A</v>
      </c>
      <c r="E288" t="s">
        <v>2338</v>
      </c>
      <c r="F288" t="s">
        <v>882</v>
      </c>
      <c r="G288" t="s">
        <v>2339</v>
      </c>
      <c r="H288" t="s">
        <v>2340</v>
      </c>
      <c r="I288" t="s">
        <v>2013</v>
      </c>
      <c r="J288" t="s">
        <v>704</v>
      </c>
      <c r="K288" t="s">
        <v>677</v>
      </c>
      <c r="L288" t="s">
        <v>2014</v>
      </c>
      <c r="M288" t="s">
        <v>1485</v>
      </c>
      <c r="N288">
        <v>50</v>
      </c>
      <c r="O288" t="s">
        <v>742</v>
      </c>
      <c r="P288" t="s">
        <v>879</v>
      </c>
      <c r="Q288">
        <v>1000000</v>
      </c>
      <c r="S288" t="s">
        <v>2341</v>
      </c>
      <c r="T288">
        <v>54</v>
      </c>
      <c r="U288" t="s">
        <v>1111</v>
      </c>
      <c r="V288" t="s">
        <v>2012</v>
      </c>
      <c r="X288" t="s">
        <v>2011</v>
      </c>
      <c r="Z288" s="1">
        <v>45321</v>
      </c>
      <c r="AA288">
        <v>1</v>
      </c>
    </row>
    <row r="289" spans="1:27">
      <c r="A289" t="s">
        <v>2017</v>
      </c>
      <c r="B289">
        <v>294</v>
      </c>
      <c r="C289" t="s">
        <v>2342</v>
      </c>
      <c r="D289" t="e">
        <f>VLOOKUP('[1]tblclients (1)'!A289,[1]Feuil1!$A$1:$G$203,4,0)</f>
        <v>#N/A</v>
      </c>
      <c r="E289" t="s">
        <v>2343</v>
      </c>
      <c r="F289" t="s">
        <v>1440</v>
      </c>
      <c r="G289" t="s">
        <v>2019</v>
      </c>
      <c r="H289" t="s">
        <v>2020</v>
      </c>
      <c r="I289" t="s">
        <v>2016</v>
      </c>
      <c r="J289" t="s">
        <v>704</v>
      </c>
      <c r="K289" t="s">
        <v>677</v>
      </c>
      <c r="L289" t="s">
        <v>2021</v>
      </c>
      <c r="N289" t="s">
        <v>2022</v>
      </c>
      <c r="O289" t="s">
        <v>687</v>
      </c>
      <c r="P289">
        <v>63</v>
      </c>
      <c r="Q289" s="2">
        <v>1000000</v>
      </c>
      <c r="R289" t="s">
        <v>2018</v>
      </c>
      <c r="S289" t="s">
        <v>2344</v>
      </c>
      <c r="T289">
        <v>54</v>
      </c>
      <c r="U289" t="s">
        <v>1416</v>
      </c>
      <c r="W289" t="s">
        <v>2015</v>
      </c>
      <c r="X289" t="s">
        <v>881</v>
      </c>
      <c r="Z289" s="1">
        <v>45320</v>
      </c>
      <c r="AA289">
        <v>1</v>
      </c>
    </row>
    <row r="290" spans="1:27">
      <c r="A290" t="s">
        <v>225</v>
      </c>
      <c r="B290">
        <v>295</v>
      </c>
      <c r="C290" t="s">
        <v>226</v>
      </c>
      <c r="D290" t="e">
        <f>VLOOKUP('[1]tblclients (1)'!A290,[1]Feuil1!$A$1:$G$203,4,0)</f>
        <v>#N/A</v>
      </c>
      <c r="E290" t="s">
        <v>2345</v>
      </c>
      <c r="F290" t="s">
        <v>882</v>
      </c>
      <c r="G290" t="s">
        <v>2346</v>
      </c>
      <c r="H290" t="s">
        <v>2347</v>
      </c>
      <c r="I290" t="s">
        <v>2024</v>
      </c>
      <c r="J290" t="s">
        <v>704</v>
      </c>
      <c r="K290" t="s">
        <v>677</v>
      </c>
      <c r="L290" t="s">
        <v>2027</v>
      </c>
      <c r="M290" t="s">
        <v>1385</v>
      </c>
      <c r="N290">
        <v>473</v>
      </c>
      <c r="O290" t="s">
        <v>1222</v>
      </c>
      <c r="P290" t="s">
        <v>904</v>
      </c>
      <c r="Q290">
        <v>1000000</v>
      </c>
      <c r="R290" t="s">
        <v>2025</v>
      </c>
      <c r="S290">
        <v>767501151</v>
      </c>
      <c r="T290">
        <v>54</v>
      </c>
      <c r="U290" t="s">
        <v>1111</v>
      </c>
      <c r="V290" t="s">
        <v>2023</v>
      </c>
      <c r="X290" t="s">
        <v>788</v>
      </c>
      <c r="Z290" s="1">
        <v>45322</v>
      </c>
      <c r="AA290">
        <v>1</v>
      </c>
    </row>
    <row r="291" spans="1:27">
      <c r="A291" t="s">
        <v>6</v>
      </c>
      <c r="B291">
        <v>297</v>
      </c>
      <c r="C291" t="s">
        <v>2348</v>
      </c>
      <c r="D291" t="e">
        <f>VLOOKUP('[1]tblclients (1)'!A291,[1]Feuil1!$A$1:$G$203,4,0)</f>
        <v>#N/A</v>
      </c>
      <c r="E291" t="s">
        <v>7</v>
      </c>
      <c r="F291" t="s">
        <v>1388</v>
      </c>
      <c r="G291" t="s">
        <v>2349</v>
      </c>
      <c r="H291" t="s">
        <v>2350</v>
      </c>
      <c r="I291" t="s">
        <v>2030</v>
      </c>
      <c r="J291" t="s">
        <v>676</v>
      </c>
      <c r="K291" t="s">
        <v>677</v>
      </c>
      <c r="L291" t="s">
        <v>2031</v>
      </c>
      <c r="O291" t="s">
        <v>692</v>
      </c>
      <c r="P291" t="s">
        <v>776</v>
      </c>
      <c r="Q291">
        <v>25000</v>
      </c>
      <c r="S291">
        <v>505954425</v>
      </c>
      <c r="T291">
        <v>54</v>
      </c>
      <c r="U291" t="s">
        <v>1111</v>
      </c>
      <c r="V291" t="s">
        <v>2029</v>
      </c>
      <c r="X291" t="s">
        <v>2028</v>
      </c>
      <c r="Z291" s="1">
        <v>45320</v>
      </c>
      <c r="AA291">
        <v>1</v>
      </c>
    </row>
    <row r="292" spans="1:27">
      <c r="A292" t="s">
        <v>620</v>
      </c>
      <c r="B292">
        <v>298</v>
      </c>
      <c r="C292" t="s">
        <v>2351</v>
      </c>
      <c r="D292" t="e">
        <f>VLOOKUP('[1]tblclients (1)'!A292,[1]Feuil1!$A$1:$G$203,4,0)</f>
        <v>#N/A</v>
      </c>
      <c r="E292" t="s">
        <v>2352</v>
      </c>
      <c r="F292" t="s">
        <v>1415</v>
      </c>
      <c r="G292" t="s">
        <v>2032</v>
      </c>
      <c r="H292" t="s">
        <v>2033</v>
      </c>
      <c r="I292" t="s">
        <v>1873</v>
      </c>
      <c r="J292" t="s">
        <v>676</v>
      </c>
      <c r="K292" t="s">
        <v>677</v>
      </c>
      <c r="L292" t="s">
        <v>2034</v>
      </c>
      <c r="M292" t="s">
        <v>2035</v>
      </c>
      <c r="N292">
        <v>81</v>
      </c>
      <c r="O292" t="s">
        <v>834</v>
      </c>
      <c r="P292" t="s">
        <v>816</v>
      </c>
      <c r="S292">
        <v>586569793</v>
      </c>
      <c r="T292">
        <v>54</v>
      </c>
      <c r="U292" t="s">
        <v>1416</v>
      </c>
      <c r="X292" t="s">
        <v>828</v>
      </c>
      <c r="Z292" s="1">
        <v>45320</v>
      </c>
      <c r="AA292">
        <v>1</v>
      </c>
    </row>
    <row r="293" spans="1:27">
      <c r="A293" t="s">
        <v>227</v>
      </c>
      <c r="B293">
        <v>299</v>
      </c>
      <c r="C293" t="s">
        <v>2036</v>
      </c>
      <c r="D293" t="e">
        <f>VLOOKUP('[1]tblclients (1)'!A293,[1]Feuil1!$A$1:$G$203,4,0)</f>
        <v>#N/A</v>
      </c>
      <c r="E293" t="s">
        <v>2353</v>
      </c>
      <c r="F293" t="s">
        <v>2125</v>
      </c>
      <c r="G293" t="s">
        <v>2354</v>
      </c>
      <c r="H293" t="s">
        <v>2355</v>
      </c>
      <c r="I293" t="s">
        <v>2039</v>
      </c>
      <c r="J293" t="s">
        <v>676</v>
      </c>
      <c r="K293" t="s">
        <v>677</v>
      </c>
      <c r="L293" t="s">
        <v>2356</v>
      </c>
      <c r="M293" t="s">
        <v>2041</v>
      </c>
      <c r="N293">
        <v>355</v>
      </c>
      <c r="O293" t="s">
        <v>692</v>
      </c>
      <c r="P293" t="s">
        <v>910</v>
      </c>
      <c r="Q293">
        <v>0</v>
      </c>
      <c r="R293" t="s">
        <v>2040</v>
      </c>
      <c r="S293" t="s">
        <v>2357</v>
      </c>
      <c r="T293">
        <v>54</v>
      </c>
      <c r="U293" t="s">
        <v>1111</v>
      </c>
      <c r="V293" t="s">
        <v>2038</v>
      </c>
      <c r="X293" t="s">
        <v>2037</v>
      </c>
      <c r="Z293" s="1">
        <v>45321</v>
      </c>
      <c r="AA293">
        <v>1</v>
      </c>
    </row>
    <row r="294" spans="1:27">
      <c r="B294">
        <v>300</v>
      </c>
      <c r="C294" t="s">
        <v>511</v>
      </c>
      <c r="D294" t="e">
        <f>VLOOKUP('[1]tblclients (1)'!A294,[1]Feuil1!$A$1:$G$203,4,0)</f>
        <v>#N/A</v>
      </c>
      <c r="E294" t="s">
        <v>2358</v>
      </c>
      <c r="F294" t="s">
        <v>2139</v>
      </c>
      <c r="G294" t="s">
        <v>2044</v>
      </c>
      <c r="H294" t="s">
        <v>2045</v>
      </c>
      <c r="I294" t="s">
        <v>2042</v>
      </c>
      <c r="J294" t="s">
        <v>704</v>
      </c>
      <c r="K294" t="s">
        <v>677</v>
      </c>
      <c r="L294" t="s">
        <v>2046</v>
      </c>
      <c r="M294" t="s">
        <v>681</v>
      </c>
      <c r="N294" t="s">
        <v>681</v>
      </c>
      <c r="O294" t="s">
        <v>750</v>
      </c>
      <c r="P294" t="s">
        <v>681</v>
      </c>
      <c r="Q294" s="2">
        <v>1000000</v>
      </c>
      <c r="R294" t="s">
        <v>2043</v>
      </c>
      <c r="S294">
        <v>505045363</v>
      </c>
      <c r="T294">
        <v>54</v>
      </c>
      <c r="U294" t="s">
        <v>1111</v>
      </c>
      <c r="V294" t="s">
        <v>681</v>
      </c>
      <c r="X294" t="s">
        <v>2359</v>
      </c>
      <c r="Z294" s="1">
        <v>45457</v>
      </c>
      <c r="AA294">
        <v>1</v>
      </c>
    </row>
    <row r="295" spans="1:27">
      <c r="B295">
        <v>301</v>
      </c>
      <c r="C295" t="s">
        <v>501</v>
      </c>
      <c r="D295" t="e">
        <f>VLOOKUP('[1]tblclients (1)'!A295,[1]Feuil1!$A$1:$G$203,4,0)</f>
        <v>#N/A</v>
      </c>
      <c r="E295" t="s">
        <v>2360</v>
      </c>
      <c r="F295" t="s">
        <v>2139</v>
      </c>
      <c r="G295" t="s">
        <v>1343</v>
      </c>
      <c r="H295" t="s">
        <v>2049</v>
      </c>
      <c r="I295" t="s">
        <v>2047</v>
      </c>
      <c r="J295" t="s">
        <v>704</v>
      </c>
      <c r="K295" t="s">
        <v>677</v>
      </c>
      <c r="L295" t="s">
        <v>2050</v>
      </c>
      <c r="M295" t="s">
        <v>681</v>
      </c>
      <c r="N295" t="s">
        <v>681</v>
      </c>
      <c r="O295" t="s">
        <v>750</v>
      </c>
      <c r="P295" t="s">
        <v>681</v>
      </c>
      <c r="Q295" t="s">
        <v>2306</v>
      </c>
      <c r="R295" t="s">
        <v>2048</v>
      </c>
      <c r="S295" t="s">
        <v>2361</v>
      </c>
      <c r="T295">
        <v>54</v>
      </c>
      <c r="U295" t="s">
        <v>1111</v>
      </c>
      <c r="V295" t="s">
        <v>681</v>
      </c>
      <c r="W295" t="s">
        <v>681</v>
      </c>
      <c r="X295" t="s">
        <v>2362</v>
      </c>
      <c r="Y295" t="s">
        <v>681</v>
      </c>
      <c r="Z295" s="1">
        <v>45457</v>
      </c>
      <c r="AA295">
        <v>1</v>
      </c>
    </row>
    <row r="296" spans="1:27">
      <c r="B296">
        <v>302</v>
      </c>
      <c r="C296" t="s">
        <v>161</v>
      </c>
      <c r="D296" t="e">
        <f>VLOOKUP('[1]tblclients (1)'!A296,[1]Feuil1!$A$1:$G$203,4,0)</f>
        <v>#N/A</v>
      </c>
      <c r="E296" t="s">
        <v>2363</v>
      </c>
      <c r="F296" t="s">
        <v>2127</v>
      </c>
      <c r="G296" t="s">
        <v>2052</v>
      </c>
      <c r="H296" t="s">
        <v>2053</v>
      </c>
      <c r="I296" t="s">
        <v>2051</v>
      </c>
      <c r="J296" t="s">
        <v>704</v>
      </c>
      <c r="K296" t="s">
        <v>677</v>
      </c>
      <c r="L296" t="s">
        <v>2054</v>
      </c>
    </row>
    <row r="297" spans="1:27">
      <c r="A297" t="s">
        <v>201</v>
      </c>
      <c r="B297">
        <v>303</v>
      </c>
      <c r="C297" t="s">
        <v>2055</v>
      </c>
      <c r="D297" t="e">
        <f>VLOOKUP('[1]tblclients (1)'!A297,[1]Feuil1!$A$1:$G$203,4,0)</f>
        <v>#N/A</v>
      </c>
      <c r="E297" t="s">
        <v>2055</v>
      </c>
      <c r="F297" t="s">
        <v>2224</v>
      </c>
      <c r="G297" t="s">
        <v>2059</v>
      </c>
      <c r="H297" t="s">
        <v>2060</v>
      </c>
      <c r="I297" t="s">
        <v>2058</v>
      </c>
      <c r="J297" t="s">
        <v>676</v>
      </c>
      <c r="K297" t="s">
        <v>677</v>
      </c>
      <c r="L297" t="s">
        <v>2061</v>
      </c>
      <c r="M297" t="s">
        <v>2062</v>
      </c>
      <c r="N297">
        <v>182</v>
      </c>
      <c r="O297" t="s">
        <v>687</v>
      </c>
      <c r="P297" t="s">
        <v>2063</v>
      </c>
      <c r="Q297" t="s">
        <v>681</v>
      </c>
      <c r="R297" t="s">
        <v>681</v>
      </c>
      <c r="S297">
        <v>103330124</v>
      </c>
      <c r="T297">
        <v>54</v>
      </c>
      <c r="U297" t="s">
        <v>1111</v>
      </c>
      <c r="V297" t="s">
        <v>681</v>
      </c>
      <c r="W297" t="s">
        <v>2057</v>
      </c>
      <c r="X297" t="s">
        <v>2056</v>
      </c>
      <c r="Z297" s="1">
        <v>45320</v>
      </c>
      <c r="AA297">
        <v>1</v>
      </c>
    </row>
    <row r="298" spans="1:27">
      <c r="A298" t="s">
        <v>211</v>
      </c>
      <c r="B298">
        <v>304</v>
      </c>
      <c r="C298" t="s">
        <v>2367</v>
      </c>
      <c r="D298" t="e">
        <f>VLOOKUP('[1]tblclients (1)'!A298,[1]Feuil1!$A$1:$G$203,4,0)</f>
        <v>#N/A</v>
      </c>
      <c r="E298" t="s">
        <v>2364</v>
      </c>
      <c r="F298" t="s">
        <v>2365</v>
      </c>
      <c r="G298" t="s">
        <v>2068</v>
      </c>
      <c r="H298" t="s">
        <v>2069</v>
      </c>
      <c r="I298" t="s">
        <v>2066</v>
      </c>
      <c r="J298" t="s">
        <v>676</v>
      </c>
      <c r="K298" t="s">
        <v>677</v>
      </c>
      <c r="L298" t="s">
        <v>2070</v>
      </c>
      <c r="M298" t="s">
        <v>2071</v>
      </c>
      <c r="N298">
        <v>457</v>
      </c>
      <c r="O298" t="s">
        <v>742</v>
      </c>
      <c r="P298" t="s">
        <v>2072</v>
      </c>
      <c r="R298" t="s">
        <v>2067</v>
      </c>
      <c r="S298">
        <v>707022259</v>
      </c>
      <c r="T298">
        <v>54</v>
      </c>
      <c r="U298" t="s">
        <v>1111</v>
      </c>
      <c r="V298" t="s">
        <v>2065</v>
      </c>
      <c r="X298" t="s">
        <v>2064</v>
      </c>
      <c r="Z298" s="1">
        <v>45545</v>
      </c>
      <c r="AA29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DE8A-AB20-4D95-B9E6-57AA4909070A}">
  <dimension ref="A1:AT298"/>
  <sheetViews>
    <sheetView workbookViewId="0">
      <selection sqref="A1:A1048576"/>
    </sheetView>
  </sheetViews>
  <sheetFormatPr baseColWidth="10" defaultRowHeight="14.25"/>
  <sheetData>
    <row r="1" spans="1:46">
      <c r="A1" t="s">
        <v>662</v>
      </c>
      <c r="B1" t="s">
        <v>2091</v>
      </c>
      <c r="C1" t="s">
        <v>2092</v>
      </c>
      <c r="D1" t="s">
        <v>2093</v>
      </c>
      <c r="E1" t="s">
        <v>2094</v>
      </c>
      <c r="F1" t="s">
        <v>2095</v>
      </c>
      <c r="G1" t="s">
        <v>659</v>
      </c>
      <c r="H1" t="s">
        <v>660</v>
      </c>
      <c r="I1" t="s">
        <v>661</v>
      </c>
      <c r="J1" t="s">
        <v>663</v>
      </c>
      <c r="K1" t="s">
        <v>664</v>
      </c>
      <c r="L1" t="s">
        <v>665</v>
      </c>
      <c r="M1" t="s">
        <v>666</v>
      </c>
      <c r="N1" t="s">
        <v>667</v>
      </c>
      <c r="O1" t="s">
        <v>668</v>
      </c>
      <c r="P1" t="s">
        <v>669</v>
      </c>
      <c r="Q1" t="s">
        <v>670</v>
      </c>
      <c r="R1" t="s">
        <v>2096</v>
      </c>
      <c r="S1" t="s">
        <v>2097</v>
      </c>
      <c r="T1" t="s">
        <v>2098</v>
      </c>
      <c r="U1" t="s">
        <v>656</v>
      </c>
      <c r="V1" t="s">
        <v>2099</v>
      </c>
      <c r="W1" t="s">
        <v>655</v>
      </c>
      <c r="X1" t="s">
        <v>654</v>
      </c>
      <c r="Y1" t="s">
        <v>657</v>
      </c>
      <c r="Z1" t="s">
        <v>2100</v>
      </c>
      <c r="AA1" t="s">
        <v>2101</v>
      </c>
      <c r="AB1" t="s">
        <v>2102</v>
      </c>
      <c r="AC1" t="s">
        <v>2103</v>
      </c>
      <c r="AD1" t="s">
        <v>2104</v>
      </c>
      <c r="AE1" t="s">
        <v>2105</v>
      </c>
      <c r="AF1" t="s">
        <v>2106</v>
      </c>
      <c r="AG1" t="s">
        <v>2107</v>
      </c>
      <c r="AH1" t="s">
        <v>2108</v>
      </c>
      <c r="AI1" t="s">
        <v>2109</v>
      </c>
      <c r="AJ1" t="s">
        <v>2110</v>
      </c>
      <c r="AK1" t="s">
        <v>2111</v>
      </c>
      <c r="AL1" t="s">
        <v>2112</v>
      </c>
      <c r="AM1" t="s">
        <v>2113</v>
      </c>
      <c r="AN1" t="s">
        <v>2114</v>
      </c>
      <c r="AO1" t="s">
        <v>2115</v>
      </c>
      <c r="AP1" t="s">
        <v>2116</v>
      </c>
      <c r="AQ1" t="s">
        <v>2117</v>
      </c>
      <c r="AR1" t="s">
        <v>2118</v>
      </c>
      <c r="AS1" t="s">
        <v>2119</v>
      </c>
      <c r="AT1" t="s">
        <v>2120</v>
      </c>
    </row>
    <row r="2" spans="1:46">
      <c r="A2" t="s">
        <v>352</v>
      </c>
      <c r="B2">
        <v>1</v>
      </c>
      <c r="C2" t="s">
        <v>353</v>
      </c>
      <c r="D2" t="s">
        <v>672</v>
      </c>
      <c r="E2" t="s">
        <v>672</v>
      </c>
      <c r="F2" t="s">
        <v>672</v>
      </c>
      <c r="G2" t="s">
        <v>674</v>
      </c>
      <c r="H2" t="s">
        <v>675</v>
      </c>
      <c r="I2" t="s">
        <v>672</v>
      </c>
      <c r="J2" t="s">
        <v>676</v>
      </c>
      <c r="K2" t="s">
        <v>677</v>
      </c>
      <c r="L2" t="s">
        <v>672</v>
      </c>
      <c r="M2" t="s">
        <v>672</v>
      </c>
      <c r="N2" t="s">
        <v>672</v>
      </c>
      <c r="O2" t="s">
        <v>678</v>
      </c>
      <c r="P2" t="s">
        <v>672</v>
      </c>
      <c r="Q2" t="s">
        <v>672</v>
      </c>
      <c r="R2" t="s">
        <v>672</v>
      </c>
      <c r="S2">
        <v>707059199</v>
      </c>
      <c r="T2">
        <v>54</v>
      </c>
      <c r="U2" t="s">
        <v>673</v>
      </c>
      <c r="V2" t="s">
        <v>672</v>
      </c>
      <c r="W2" t="s">
        <v>672</v>
      </c>
      <c r="X2" t="s">
        <v>671</v>
      </c>
      <c r="Y2" t="s">
        <v>672</v>
      </c>
      <c r="Z2" s="1">
        <v>43466</v>
      </c>
      <c r="AA2">
        <v>1</v>
      </c>
      <c r="AB2" t="s">
        <v>672</v>
      </c>
      <c r="AC2" t="s">
        <v>672</v>
      </c>
      <c r="AD2" t="s">
        <v>672</v>
      </c>
      <c r="AE2" t="s">
        <v>672</v>
      </c>
      <c r="AF2" t="s">
        <v>672</v>
      </c>
      <c r="AG2" t="s">
        <v>672</v>
      </c>
      <c r="AH2" t="s">
        <v>672</v>
      </c>
      <c r="AI2" t="s">
        <v>672</v>
      </c>
      <c r="AJ2" t="s">
        <v>672</v>
      </c>
      <c r="AK2" t="s">
        <v>672</v>
      </c>
      <c r="AL2" t="s">
        <v>672</v>
      </c>
      <c r="AM2" t="s">
        <v>672</v>
      </c>
      <c r="AN2" t="s">
        <v>672</v>
      </c>
      <c r="AO2" t="s">
        <v>672</v>
      </c>
      <c r="AP2">
        <v>3</v>
      </c>
      <c r="AQ2">
        <v>1</v>
      </c>
      <c r="AR2" t="s">
        <v>672</v>
      </c>
      <c r="AS2">
        <v>1</v>
      </c>
      <c r="AT2">
        <v>1</v>
      </c>
    </row>
    <row r="3" spans="1:46">
      <c r="A3" t="s">
        <v>376</v>
      </c>
      <c r="B3">
        <v>2</v>
      </c>
      <c r="C3" t="s">
        <v>377</v>
      </c>
      <c r="D3" t="s">
        <v>672</v>
      </c>
      <c r="E3" t="s">
        <v>377</v>
      </c>
      <c r="F3" t="s">
        <v>2121</v>
      </c>
      <c r="G3" t="s">
        <v>683</v>
      </c>
      <c r="H3" t="s">
        <v>684</v>
      </c>
      <c r="I3" t="s">
        <v>682</v>
      </c>
      <c r="J3" t="s">
        <v>676</v>
      </c>
      <c r="K3" t="s">
        <v>677</v>
      </c>
      <c r="L3" t="s">
        <v>685</v>
      </c>
      <c r="M3" t="s">
        <v>686</v>
      </c>
      <c r="N3">
        <v>541</v>
      </c>
      <c r="O3" t="s">
        <v>687</v>
      </c>
      <c r="P3" t="s">
        <v>688</v>
      </c>
      <c r="R3" t="s">
        <v>681</v>
      </c>
      <c r="S3">
        <v>758840340</v>
      </c>
      <c r="T3">
        <v>54</v>
      </c>
      <c r="U3" t="s">
        <v>673</v>
      </c>
      <c r="V3" t="s">
        <v>680</v>
      </c>
      <c r="W3" t="s">
        <v>681</v>
      </c>
      <c r="X3" t="s">
        <v>679</v>
      </c>
      <c r="Y3" t="s">
        <v>681</v>
      </c>
      <c r="Z3" s="1">
        <v>43466</v>
      </c>
      <c r="AA3">
        <v>1</v>
      </c>
      <c r="AB3" t="s">
        <v>672</v>
      </c>
      <c r="AC3" t="s">
        <v>672</v>
      </c>
      <c r="AG3">
        <v>0</v>
      </c>
      <c r="AL3">
        <v>0</v>
      </c>
      <c r="AM3" t="s">
        <v>672</v>
      </c>
      <c r="AN3" t="s">
        <v>672</v>
      </c>
      <c r="AO3" t="s">
        <v>672</v>
      </c>
      <c r="AP3">
        <v>0</v>
      </c>
      <c r="AQ3">
        <v>1</v>
      </c>
      <c r="AR3" t="s">
        <v>672</v>
      </c>
      <c r="AS3">
        <v>1</v>
      </c>
      <c r="AT3">
        <v>1</v>
      </c>
    </row>
    <row r="4" spans="1:46">
      <c r="A4" t="s">
        <v>410</v>
      </c>
      <c r="B4">
        <v>3</v>
      </c>
      <c r="C4" t="s">
        <v>411</v>
      </c>
      <c r="D4" t="s">
        <v>672</v>
      </c>
      <c r="E4" t="s">
        <v>672</v>
      </c>
      <c r="F4" t="s">
        <v>672</v>
      </c>
      <c r="G4" t="s">
        <v>690</v>
      </c>
      <c r="H4" t="s">
        <v>691</v>
      </c>
      <c r="I4" t="s">
        <v>672</v>
      </c>
      <c r="J4" t="s">
        <v>676</v>
      </c>
      <c r="K4" t="s">
        <v>677</v>
      </c>
      <c r="L4" t="s">
        <v>672</v>
      </c>
      <c r="M4" t="s">
        <v>672</v>
      </c>
      <c r="N4" t="s">
        <v>672</v>
      </c>
      <c r="O4" t="s">
        <v>692</v>
      </c>
      <c r="P4" t="s">
        <v>672</v>
      </c>
      <c r="Q4" t="s">
        <v>672</v>
      </c>
      <c r="R4" t="s">
        <v>672</v>
      </c>
      <c r="S4">
        <v>707114141</v>
      </c>
      <c r="T4">
        <v>54</v>
      </c>
      <c r="U4" t="s">
        <v>673</v>
      </c>
      <c r="V4" t="s">
        <v>672</v>
      </c>
      <c r="W4" t="s">
        <v>672</v>
      </c>
      <c r="X4" t="s">
        <v>689</v>
      </c>
      <c r="Y4" t="s">
        <v>672</v>
      </c>
      <c r="Z4" s="1">
        <v>43471</v>
      </c>
      <c r="AA4">
        <v>1</v>
      </c>
      <c r="AB4" t="s">
        <v>672</v>
      </c>
      <c r="AC4" t="s">
        <v>672</v>
      </c>
      <c r="AD4" t="s">
        <v>672</v>
      </c>
      <c r="AE4" t="s">
        <v>672</v>
      </c>
      <c r="AF4" t="s">
        <v>672</v>
      </c>
      <c r="AG4" t="s">
        <v>672</v>
      </c>
      <c r="AH4" t="s">
        <v>672</v>
      </c>
      <c r="AI4" t="s">
        <v>672</v>
      </c>
      <c r="AJ4" t="s">
        <v>672</v>
      </c>
      <c r="AK4" t="s">
        <v>672</v>
      </c>
      <c r="AL4" t="s">
        <v>672</v>
      </c>
      <c r="AM4" t="s">
        <v>672</v>
      </c>
      <c r="AN4" t="s">
        <v>672</v>
      </c>
      <c r="AO4" t="s">
        <v>672</v>
      </c>
      <c r="AP4">
        <v>3</v>
      </c>
      <c r="AQ4">
        <v>1</v>
      </c>
      <c r="AR4" t="s">
        <v>672</v>
      </c>
      <c r="AS4">
        <v>1</v>
      </c>
      <c r="AT4">
        <v>1</v>
      </c>
    </row>
    <row r="5" spans="1:46">
      <c r="A5" t="s">
        <v>267</v>
      </c>
      <c r="B5">
        <v>4</v>
      </c>
      <c r="C5" t="s">
        <v>268</v>
      </c>
      <c r="D5" t="s">
        <v>672</v>
      </c>
      <c r="E5" t="s">
        <v>672</v>
      </c>
      <c r="F5" t="s">
        <v>672</v>
      </c>
      <c r="G5" t="s">
        <v>694</v>
      </c>
      <c r="H5" t="s">
        <v>695</v>
      </c>
      <c r="I5" t="s">
        <v>672</v>
      </c>
      <c r="J5" t="s">
        <v>676</v>
      </c>
      <c r="K5" t="s">
        <v>677</v>
      </c>
      <c r="L5" t="s">
        <v>672</v>
      </c>
      <c r="M5" t="s">
        <v>672</v>
      </c>
      <c r="N5" t="s">
        <v>672</v>
      </c>
      <c r="O5" t="s">
        <v>692</v>
      </c>
      <c r="P5" t="s">
        <v>672</v>
      </c>
      <c r="Q5" t="s">
        <v>672</v>
      </c>
      <c r="R5" t="s">
        <v>672</v>
      </c>
      <c r="S5">
        <v>707941178</v>
      </c>
      <c r="T5">
        <v>54</v>
      </c>
      <c r="U5" t="s">
        <v>673</v>
      </c>
      <c r="V5" t="s">
        <v>672</v>
      </c>
      <c r="W5" t="s">
        <v>672</v>
      </c>
      <c r="X5" t="s">
        <v>693</v>
      </c>
      <c r="Y5" t="s">
        <v>672</v>
      </c>
      <c r="Z5" s="1">
        <v>43479</v>
      </c>
      <c r="AA5">
        <v>1</v>
      </c>
      <c r="AB5" t="s">
        <v>672</v>
      </c>
      <c r="AC5" t="s">
        <v>672</v>
      </c>
      <c r="AD5" t="s">
        <v>672</v>
      </c>
      <c r="AE5" t="s">
        <v>672</v>
      </c>
      <c r="AF5" t="s">
        <v>672</v>
      </c>
      <c r="AG5" t="s">
        <v>672</v>
      </c>
      <c r="AH5" t="s">
        <v>672</v>
      </c>
      <c r="AI5" t="s">
        <v>672</v>
      </c>
      <c r="AJ5" t="s">
        <v>672</v>
      </c>
      <c r="AK5" t="s">
        <v>672</v>
      </c>
      <c r="AL5" t="s">
        <v>672</v>
      </c>
      <c r="AM5" t="s">
        <v>672</v>
      </c>
      <c r="AN5" t="s">
        <v>672</v>
      </c>
      <c r="AO5" t="s">
        <v>672</v>
      </c>
      <c r="AP5">
        <v>3</v>
      </c>
      <c r="AQ5">
        <v>1</v>
      </c>
      <c r="AR5" t="s">
        <v>672</v>
      </c>
      <c r="AS5">
        <v>1</v>
      </c>
      <c r="AT5">
        <v>1</v>
      </c>
    </row>
    <row r="6" spans="1:46">
      <c r="A6" t="s">
        <v>8</v>
      </c>
      <c r="B6">
        <v>5</v>
      </c>
      <c r="C6" t="s">
        <v>9</v>
      </c>
      <c r="D6" t="s">
        <v>672</v>
      </c>
      <c r="E6" t="s">
        <v>672</v>
      </c>
      <c r="F6" t="s">
        <v>672</v>
      </c>
      <c r="G6" t="s">
        <v>696</v>
      </c>
      <c r="H6" t="s">
        <v>697</v>
      </c>
      <c r="I6" t="s">
        <v>672</v>
      </c>
      <c r="J6" t="s">
        <v>676</v>
      </c>
      <c r="K6" t="s">
        <v>677</v>
      </c>
      <c r="L6" t="s">
        <v>672</v>
      </c>
      <c r="M6" t="s">
        <v>672</v>
      </c>
      <c r="N6" t="s">
        <v>672</v>
      </c>
      <c r="O6" t="s">
        <v>692</v>
      </c>
      <c r="P6" t="s">
        <v>672</v>
      </c>
      <c r="Q6" t="s">
        <v>672</v>
      </c>
      <c r="R6" t="s">
        <v>672</v>
      </c>
      <c r="S6">
        <v>505843545</v>
      </c>
      <c r="T6">
        <v>54</v>
      </c>
      <c r="U6" t="s">
        <v>673</v>
      </c>
      <c r="V6" t="s">
        <v>672</v>
      </c>
      <c r="W6" t="s">
        <v>672</v>
      </c>
      <c r="X6" t="s">
        <v>693</v>
      </c>
      <c r="Y6" t="s">
        <v>672</v>
      </c>
      <c r="Z6" s="1">
        <v>43479</v>
      </c>
      <c r="AA6">
        <v>1</v>
      </c>
      <c r="AB6" t="s">
        <v>672</v>
      </c>
      <c r="AC6" t="s">
        <v>672</v>
      </c>
      <c r="AD6" t="s">
        <v>672</v>
      </c>
      <c r="AE6" t="s">
        <v>672</v>
      </c>
      <c r="AF6" t="s">
        <v>672</v>
      </c>
      <c r="AG6" t="s">
        <v>672</v>
      </c>
      <c r="AH6" t="s">
        <v>672</v>
      </c>
      <c r="AI6" t="s">
        <v>672</v>
      </c>
      <c r="AJ6" t="s">
        <v>672</v>
      </c>
      <c r="AK6" t="s">
        <v>672</v>
      </c>
      <c r="AL6" t="s">
        <v>672</v>
      </c>
      <c r="AM6" t="s">
        <v>672</v>
      </c>
      <c r="AN6" t="s">
        <v>672</v>
      </c>
      <c r="AO6" t="s">
        <v>672</v>
      </c>
      <c r="AP6">
        <v>3</v>
      </c>
      <c r="AQ6">
        <v>1</v>
      </c>
      <c r="AR6" t="s">
        <v>672</v>
      </c>
      <c r="AS6">
        <v>1</v>
      </c>
      <c r="AT6">
        <v>1</v>
      </c>
    </row>
    <row r="7" spans="1:46">
      <c r="A7" t="s">
        <v>140</v>
      </c>
      <c r="B7">
        <v>6</v>
      </c>
      <c r="C7" t="s">
        <v>698</v>
      </c>
      <c r="D7" t="s">
        <v>672</v>
      </c>
      <c r="E7" t="s">
        <v>672</v>
      </c>
      <c r="F7" t="s">
        <v>672</v>
      </c>
      <c r="G7" t="s">
        <v>699</v>
      </c>
      <c r="H7" t="s">
        <v>700</v>
      </c>
      <c r="I7" t="s">
        <v>672</v>
      </c>
      <c r="J7" t="s">
        <v>676</v>
      </c>
      <c r="K7" t="s">
        <v>677</v>
      </c>
      <c r="L7" t="s">
        <v>672</v>
      </c>
      <c r="M7" t="s">
        <v>672</v>
      </c>
      <c r="N7" t="s">
        <v>672</v>
      </c>
      <c r="O7" t="s">
        <v>692</v>
      </c>
      <c r="P7" t="s">
        <v>672</v>
      </c>
      <c r="Q7" t="s">
        <v>672</v>
      </c>
      <c r="R7" t="s">
        <v>672</v>
      </c>
      <c r="S7">
        <v>707582591</v>
      </c>
      <c r="T7">
        <v>54</v>
      </c>
      <c r="U7" t="s">
        <v>673</v>
      </c>
      <c r="V7" t="s">
        <v>672</v>
      </c>
      <c r="W7" t="s">
        <v>672</v>
      </c>
      <c r="X7" t="s">
        <v>693</v>
      </c>
      <c r="Y7" t="s">
        <v>672</v>
      </c>
      <c r="Z7" s="1">
        <v>43479</v>
      </c>
      <c r="AA7">
        <v>1</v>
      </c>
      <c r="AB7" t="s">
        <v>672</v>
      </c>
      <c r="AC7" t="s">
        <v>672</v>
      </c>
      <c r="AD7" t="s">
        <v>672</v>
      </c>
      <c r="AE7" t="s">
        <v>672</v>
      </c>
      <c r="AF7" t="s">
        <v>672</v>
      </c>
      <c r="AG7" t="s">
        <v>672</v>
      </c>
      <c r="AH7" t="s">
        <v>672</v>
      </c>
      <c r="AI7" t="s">
        <v>672</v>
      </c>
      <c r="AJ7" t="s">
        <v>672</v>
      </c>
      <c r="AK7" t="s">
        <v>672</v>
      </c>
      <c r="AL7" t="s">
        <v>672</v>
      </c>
      <c r="AM7" t="s">
        <v>672</v>
      </c>
      <c r="AN7" t="s">
        <v>672</v>
      </c>
      <c r="AO7" t="s">
        <v>672</v>
      </c>
      <c r="AP7">
        <v>3</v>
      </c>
      <c r="AQ7">
        <v>1</v>
      </c>
      <c r="AR7" t="s">
        <v>672</v>
      </c>
      <c r="AS7">
        <v>1</v>
      </c>
      <c r="AT7">
        <v>1</v>
      </c>
    </row>
    <row r="8" spans="1:46">
      <c r="A8" t="s">
        <v>32</v>
      </c>
      <c r="B8">
        <v>7</v>
      </c>
      <c r="C8" t="s">
        <v>33</v>
      </c>
      <c r="D8" t="s">
        <v>672</v>
      </c>
      <c r="E8" t="s">
        <v>672</v>
      </c>
      <c r="F8" t="s">
        <v>672</v>
      </c>
      <c r="G8" t="s">
        <v>702</v>
      </c>
      <c r="H8" t="s">
        <v>703</v>
      </c>
      <c r="I8" t="s">
        <v>672</v>
      </c>
      <c r="J8" t="s">
        <v>704</v>
      </c>
      <c r="K8" t="s">
        <v>677</v>
      </c>
      <c r="L8" t="s">
        <v>672</v>
      </c>
      <c r="M8" t="s">
        <v>672</v>
      </c>
      <c r="N8" t="s">
        <v>672</v>
      </c>
      <c r="O8" t="s">
        <v>705</v>
      </c>
      <c r="P8" t="s">
        <v>672</v>
      </c>
      <c r="Q8" t="s">
        <v>672</v>
      </c>
      <c r="R8" t="s">
        <v>672</v>
      </c>
      <c r="S8">
        <v>789844008</v>
      </c>
      <c r="T8">
        <v>54</v>
      </c>
      <c r="U8" t="s">
        <v>673</v>
      </c>
      <c r="V8" t="s">
        <v>672</v>
      </c>
      <c r="W8" t="s">
        <v>672</v>
      </c>
      <c r="X8" t="s">
        <v>701</v>
      </c>
      <c r="Y8" t="s">
        <v>672</v>
      </c>
      <c r="Z8" s="1">
        <v>43479</v>
      </c>
      <c r="AA8">
        <v>1</v>
      </c>
      <c r="AB8" t="s">
        <v>672</v>
      </c>
      <c r="AC8" t="s">
        <v>672</v>
      </c>
      <c r="AD8" t="s">
        <v>672</v>
      </c>
      <c r="AE8" t="s">
        <v>672</v>
      </c>
      <c r="AF8" t="s">
        <v>672</v>
      </c>
      <c r="AG8" t="s">
        <v>672</v>
      </c>
      <c r="AH8" t="s">
        <v>672</v>
      </c>
      <c r="AI8" t="s">
        <v>672</v>
      </c>
      <c r="AJ8" t="s">
        <v>672</v>
      </c>
      <c r="AK8" t="s">
        <v>672</v>
      </c>
      <c r="AL8" t="s">
        <v>672</v>
      </c>
      <c r="AM8" t="s">
        <v>672</v>
      </c>
      <c r="AN8" t="s">
        <v>672</v>
      </c>
      <c r="AO8" t="s">
        <v>672</v>
      </c>
      <c r="AP8">
        <v>3</v>
      </c>
      <c r="AQ8">
        <v>1</v>
      </c>
      <c r="AR8" t="s">
        <v>672</v>
      </c>
      <c r="AS8">
        <v>1</v>
      </c>
      <c r="AT8">
        <v>1</v>
      </c>
    </row>
    <row r="9" spans="1:46">
      <c r="A9" t="s">
        <v>171</v>
      </c>
      <c r="B9">
        <v>8</v>
      </c>
      <c r="C9" t="s">
        <v>172</v>
      </c>
      <c r="D9" t="s">
        <v>672</v>
      </c>
      <c r="E9" t="s">
        <v>672</v>
      </c>
      <c r="F9" t="s">
        <v>672</v>
      </c>
      <c r="G9" t="s">
        <v>707</v>
      </c>
      <c r="H9" t="s">
        <v>708</v>
      </c>
      <c r="I9" t="s">
        <v>672</v>
      </c>
      <c r="J9" t="s">
        <v>704</v>
      </c>
      <c r="K9" t="s">
        <v>677</v>
      </c>
      <c r="L9" t="s">
        <v>672</v>
      </c>
      <c r="M9" t="s">
        <v>672</v>
      </c>
      <c r="N9" t="s">
        <v>672</v>
      </c>
      <c r="O9" t="s">
        <v>705</v>
      </c>
      <c r="P9" t="s">
        <v>672</v>
      </c>
      <c r="Q9" t="s">
        <v>672</v>
      </c>
      <c r="R9" t="s">
        <v>672</v>
      </c>
      <c r="S9">
        <v>707070102</v>
      </c>
      <c r="T9">
        <v>54</v>
      </c>
      <c r="U9" t="s">
        <v>673</v>
      </c>
      <c r="V9" t="s">
        <v>672</v>
      </c>
      <c r="W9" t="s">
        <v>672</v>
      </c>
      <c r="X9" t="s">
        <v>706</v>
      </c>
      <c r="Y9" t="s">
        <v>672</v>
      </c>
      <c r="Z9" s="1">
        <v>43479</v>
      </c>
      <c r="AA9">
        <v>1</v>
      </c>
      <c r="AB9" t="s">
        <v>672</v>
      </c>
      <c r="AC9" t="s">
        <v>672</v>
      </c>
      <c r="AD9" t="s">
        <v>672</v>
      </c>
      <c r="AE9" t="s">
        <v>672</v>
      </c>
      <c r="AF9" t="s">
        <v>672</v>
      </c>
      <c r="AG9" t="s">
        <v>672</v>
      </c>
      <c r="AH9" t="s">
        <v>672</v>
      </c>
      <c r="AI9" t="s">
        <v>672</v>
      </c>
      <c r="AJ9" t="s">
        <v>672</v>
      </c>
      <c r="AK9" t="s">
        <v>672</v>
      </c>
      <c r="AL9" t="s">
        <v>672</v>
      </c>
      <c r="AM9" t="s">
        <v>672</v>
      </c>
      <c r="AN9" t="s">
        <v>672</v>
      </c>
      <c r="AO9" t="s">
        <v>672</v>
      </c>
      <c r="AP9">
        <v>3</v>
      </c>
      <c r="AQ9">
        <v>1</v>
      </c>
      <c r="AR9" t="s">
        <v>672</v>
      </c>
      <c r="AS9">
        <v>1</v>
      </c>
      <c r="AT9">
        <v>1</v>
      </c>
    </row>
    <row r="10" spans="1:46">
      <c r="A10" t="s">
        <v>494</v>
      </c>
      <c r="B10">
        <v>9</v>
      </c>
      <c r="C10" t="s">
        <v>495</v>
      </c>
      <c r="D10">
        <v>27</v>
      </c>
      <c r="G10" t="s">
        <v>710</v>
      </c>
      <c r="H10" t="s">
        <v>711</v>
      </c>
      <c r="J10" t="s">
        <v>704</v>
      </c>
      <c r="K10" t="s">
        <v>712</v>
      </c>
      <c r="O10" t="s">
        <v>678</v>
      </c>
      <c r="S10">
        <v>101017474</v>
      </c>
      <c r="T10">
        <v>54</v>
      </c>
      <c r="U10" t="s">
        <v>673</v>
      </c>
      <c r="X10" t="s">
        <v>709</v>
      </c>
      <c r="Z10" s="1">
        <v>43479</v>
      </c>
      <c r="AA10">
        <v>1</v>
      </c>
      <c r="AB10" t="s">
        <v>672</v>
      </c>
      <c r="AG10">
        <v>0</v>
      </c>
      <c r="AL10">
        <v>0</v>
      </c>
      <c r="AM10" t="s">
        <v>672</v>
      </c>
      <c r="AN10" t="s">
        <v>672</v>
      </c>
      <c r="AO10" t="s">
        <v>672</v>
      </c>
      <c r="AP10">
        <v>0</v>
      </c>
      <c r="AQ10">
        <v>1</v>
      </c>
      <c r="AR10" t="s">
        <v>672</v>
      </c>
      <c r="AS10">
        <v>1</v>
      </c>
      <c r="AT10">
        <v>1</v>
      </c>
    </row>
    <row r="11" spans="1:46">
      <c r="A11" t="s">
        <v>504</v>
      </c>
      <c r="B11">
        <v>10</v>
      </c>
      <c r="C11" t="s">
        <v>505</v>
      </c>
      <c r="D11" t="s">
        <v>672</v>
      </c>
      <c r="E11" t="s">
        <v>672</v>
      </c>
      <c r="F11" t="s">
        <v>672</v>
      </c>
      <c r="G11" t="s">
        <v>714</v>
      </c>
      <c r="H11" t="s">
        <v>715</v>
      </c>
      <c r="I11" t="s">
        <v>672</v>
      </c>
      <c r="J11" t="s">
        <v>676</v>
      </c>
      <c r="K11" t="s">
        <v>677</v>
      </c>
      <c r="L11" t="s">
        <v>672</v>
      </c>
      <c r="M11" t="s">
        <v>672</v>
      </c>
      <c r="N11" t="s">
        <v>672</v>
      </c>
      <c r="O11" t="s">
        <v>678</v>
      </c>
      <c r="P11" t="s">
        <v>672</v>
      </c>
      <c r="Q11" t="s">
        <v>672</v>
      </c>
      <c r="R11" t="s">
        <v>672</v>
      </c>
      <c r="S11">
        <v>707435252</v>
      </c>
      <c r="T11">
        <v>54</v>
      </c>
      <c r="U11" t="s">
        <v>673</v>
      </c>
      <c r="V11" t="s">
        <v>672</v>
      </c>
      <c r="W11" t="s">
        <v>672</v>
      </c>
      <c r="X11" t="s">
        <v>713</v>
      </c>
      <c r="Y11" t="s">
        <v>672</v>
      </c>
      <c r="Z11" s="1">
        <v>43479</v>
      </c>
      <c r="AA11">
        <v>1</v>
      </c>
      <c r="AB11" t="s">
        <v>672</v>
      </c>
      <c r="AC11" t="s">
        <v>672</v>
      </c>
      <c r="AD11" t="s">
        <v>672</v>
      </c>
      <c r="AE11" t="s">
        <v>672</v>
      </c>
      <c r="AF11" t="s">
        <v>672</v>
      </c>
      <c r="AG11" t="s">
        <v>672</v>
      </c>
      <c r="AH11" t="s">
        <v>672</v>
      </c>
      <c r="AI11" t="s">
        <v>672</v>
      </c>
      <c r="AJ11" t="s">
        <v>672</v>
      </c>
      <c r="AK11" t="s">
        <v>672</v>
      </c>
      <c r="AL11" t="s">
        <v>672</v>
      </c>
      <c r="AM11" t="s">
        <v>672</v>
      </c>
      <c r="AN11" t="s">
        <v>672</v>
      </c>
      <c r="AO11" t="s">
        <v>672</v>
      </c>
      <c r="AP11">
        <v>3</v>
      </c>
      <c r="AQ11">
        <v>1</v>
      </c>
      <c r="AR11" t="s">
        <v>672</v>
      </c>
      <c r="AS11">
        <v>1</v>
      </c>
      <c r="AT11">
        <v>1</v>
      </c>
    </row>
    <row r="12" spans="1:46">
      <c r="A12" t="s">
        <v>16</v>
      </c>
      <c r="B12">
        <v>11</v>
      </c>
      <c r="C12" t="s">
        <v>716</v>
      </c>
      <c r="D12" t="s">
        <v>672</v>
      </c>
      <c r="E12" t="s">
        <v>672</v>
      </c>
      <c r="F12" t="s">
        <v>672</v>
      </c>
      <c r="G12" t="s">
        <v>718</v>
      </c>
      <c r="H12" t="s">
        <v>719</v>
      </c>
      <c r="I12" t="s">
        <v>672</v>
      </c>
      <c r="J12" t="s">
        <v>676</v>
      </c>
      <c r="K12" t="s">
        <v>677</v>
      </c>
      <c r="L12" t="s">
        <v>672</v>
      </c>
      <c r="M12" t="s">
        <v>672</v>
      </c>
      <c r="N12" t="s">
        <v>672</v>
      </c>
      <c r="O12" t="s">
        <v>678</v>
      </c>
      <c r="P12" t="s">
        <v>672</v>
      </c>
      <c r="Q12" t="s">
        <v>672</v>
      </c>
      <c r="R12" t="s">
        <v>672</v>
      </c>
      <c r="S12">
        <v>707070392</v>
      </c>
      <c r="T12">
        <v>54</v>
      </c>
      <c r="U12" t="s">
        <v>673</v>
      </c>
      <c r="V12" t="s">
        <v>672</v>
      </c>
      <c r="W12" t="s">
        <v>672</v>
      </c>
      <c r="X12" t="s">
        <v>717</v>
      </c>
      <c r="Y12" t="s">
        <v>672</v>
      </c>
      <c r="Z12" s="1">
        <v>43479</v>
      </c>
      <c r="AA12">
        <v>1</v>
      </c>
      <c r="AB12" t="s">
        <v>672</v>
      </c>
      <c r="AC12" t="s">
        <v>672</v>
      </c>
      <c r="AD12" t="s">
        <v>672</v>
      </c>
      <c r="AE12" t="s">
        <v>672</v>
      </c>
      <c r="AF12" t="s">
        <v>672</v>
      </c>
      <c r="AG12" t="s">
        <v>672</v>
      </c>
      <c r="AH12" t="s">
        <v>672</v>
      </c>
      <c r="AI12" t="s">
        <v>672</v>
      </c>
      <c r="AJ12" t="s">
        <v>672</v>
      </c>
      <c r="AK12" t="s">
        <v>672</v>
      </c>
      <c r="AL12" t="s">
        <v>672</v>
      </c>
      <c r="AM12" t="s">
        <v>672</v>
      </c>
      <c r="AN12" t="s">
        <v>672</v>
      </c>
      <c r="AO12" t="s">
        <v>672</v>
      </c>
      <c r="AP12">
        <v>3</v>
      </c>
      <c r="AQ12">
        <v>1</v>
      </c>
      <c r="AR12" t="s">
        <v>672</v>
      </c>
      <c r="AS12">
        <v>1</v>
      </c>
      <c r="AT12">
        <v>1</v>
      </c>
    </row>
    <row r="13" spans="1:46">
      <c r="A13" t="s">
        <v>169</v>
      </c>
      <c r="B13">
        <v>12</v>
      </c>
      <c r="C13" t="s">
        <v>170</v>
      </c>
      <c r="D13" t="s">
        <v>672</v>
      </c>
      <c r="E13" t="s">
        <v>672</v>
      </c>
      <c r="F13" t="s">
        <v>672</v>
      </c>
      <c r="G13" t="s">
        <v>721</v>
      </c>
      <c r="H13" t="s">
        <v>722</v>
      </c>
      <c r="I13" t="s">
        <v>672</v>
      </c>
      <c r="J13" t="s">
        <v>676</v>
      </c>
      <c r="K13" t="s">
        <v>677</v>
      </c>
      <c r="L13" t="s">
        <v>672</v>
      </c>
      <c r="M13" t="s">
        <v>672</v>
      </c>
      <c r="N13" t="s">
        <v>672</v>
      </c>
      <c r="O13" t="s">
        <v>678</v>
      </c>
      <c r="P13" t="s">
        <v>672</v>
      </c>
      <c r="Q13" t="s">
        <v>672</v>
      </c>
      <c r="R13" t="s">
        <v>672</v>
      </c>
      <c r="S13">
        <v>708048295</v>
      </c>
      <c r="T13">
        <v>54</v>
      </c>
      <c r="U13" t="s">
        <v>673</v>
      </c>
      <c r="V13" t="s">
        <v>672</v>
      </c>
      <c r="W13" t="s">
        <v>672</v>
      </c>
      <c r="X13" t="s">
        <v>720</v>
      </c>
      <c r="Y13" t="s">
        <v>672</v>
      </c>
      <c r="Z13" s="1">
        <v>43479</v>
      </c>
      <c r="AA13">
        <v>1</v>
      </c>
      <c r="AB13" t="s">
        <v>672</v>
      </c>
      <c r="AC13" t="s">
        <v>672</v>
      </c>
      <c r="AD13" t="s">
        <v>672</v>
      </c>
      <c r="AE13" t="s">
        <v>672</v>
      </c>
      <c r="AF13" t="s">
        <v>672</v>
      </c>
      <c r="AG13" t="s">
        <v>672</v>
      </c>
      <c r="AH13" t="s">
        <v>672</v>
      </c>
      <c r="AI13" t="s">
        <v>672</v>
      </c>
      <c r="AJ13" t="s">
        <v>672</v>
      </c>
      <c r="AK13" t="s">
        <v>672</v>
      </c>
      <c r="AL13" t="s">
        <v>672</v>
      </c>
      <c r="AM13" t="s">
        <v>672</v>
      </c>
      <c r="AN13" t="s">
        <v>672</v>
      </c>
      <c r="AO13" t="s">
        <v>672</v>
      </c>
      <c r="AP13">
        <v>3</v>
      </c>
      <c r="AQ13">
        <v>1</v>
      </c>
      <c r="AR13" t="s">
        <v>672</v>
      </c>
      <c r="AS13">
        <v>1</v>
      </c>
      <c r="AT13">
        <v>1</v>
      </c>
    </row>
    <row r="14" spans="1:46">
      <c r="A14" t="s">
        <v>247</v>
      </c>
      <c r="B14">
        <v>13</v>
      </c>
      <c r="C14" t="s">
        <v>723</v>
      </c>
      <c r="D14" t="s">
        <v>672</v>
      </c>
      <c r="E14" t="s">
        <v>723</v>
      </c>
      <c r="F14" t="s">
        <v>2122</v>
      </c>
      <c r="G14" t="s">
        <v>725</v>
      </c>
      <c r="H14" t="s">
        <v>726</v>
      </c>
      <c r="I14" t="s">
        <v>681</v>
      </c>
      <c r="J14" t="s">
        <v>676</v>
      </c>
      <c r="K14" t="s">
        <v>677</v>
      </c>
      <c r="L14" t="s">
        <v>727</v>
      </c>
    </row>
    <row r="15" spans="1:46">
      <c r="A15" t="s">
        <v>283</v>
      </c>
      <c r="B15">
        <v>14</v>
      </c>
      <c r="C15" t="s">
        <v>284</v>
      </c>
      <c r="D15" t="s">
        <v>672</v>
      </c>
      <c r="E15" t="s">
        <v>2123</v>
      </c>
      <c r="F15" t="s">
        <v>2122</v>
      </c>
      <c r="G15" t="s">
        <v>729</v>
      </c>
      <c r="H15" t="s">
        <v>730</v>
      </c>
      <c r="J15" t="s">
        <v>676</v>
      </c>
      <c r="K15" t="s">
        <v>677</v>
      </c>
      <c r="S15">
        <v>101800240</v>
      </c>
      <c r="T15">
        <v>54</v>
      </c>
      <c r="U15" t="s">
        <v>673</v>
      </c>
      <c r="X15" t="s">
        <v>728</v>
      </c>
      <c r="Z15" s="1">
        <v>43479</v>
      </c>
      <c r="AA15">
        <v>1</v>
      </c>
      <c r="AB15" t="s">
        <v>672</v>
      </c>
      <c r="AC15" t="s">
        <v>672</v>
      </c>
      <c r="AG15">
        <v>0</v>
      </c>
      <c r="AL15">
        <v>0</v>
      </c>
      <c r="AM15" t="s">
        <v>672</v>
      </c>
      <c r="AN15" t="s">
        <v>672</v>
      </c>
      <c r="AO15" t="s">
        <v>672</v>
      </c>
      <c r="AP15">
        <v>0</v>
      </c>
      <c r="AQ15">
        <v>1</v>
      </c>
      <c r="AR15" t="s">
        <v>672</v>
      </c>
      <c r="AS15">
        <v>1</v>
      </c>
      <c r="AT15">
        <v>1</v>
      </c>
    </row>
    <row r="16" spans="1:46">
      <c r="A16" t="s">
        <v>14</v>
      </c>
      <c r="B16">
        <v>15</v>
      </c>
      <c r="C16" t="s">
        <v>15</v>
      </c>
      <c r="D16" t="s">
        <v>672</v>
      </c>
      <c r="E16" t="s">
        <v>2124</v>
      </c>
      <c r="F16" t="s">
        <v>731</v>
      </c>
      <c r="G16" t="s">
        <v>733</v>
      </c>
      <c r="H16" t="s">
        <v>734</v>
      </c>
      <c r="I16" t="s">
        <v>732</v>
      </c>
      <c r="J16" t="s">
        <v>676</v>
      </c>
      <c r="K16" t="s">
        <v>677</v>
      </c>
      <c r="L16" t="s">
        <v>735</v>
      </c>
      <c r="M16" t="s">
        <v>681</v>
      </c>
      <c r="N16" t="s">
        <v>681</v>
      </c>
      <c r="O16" t="s">
        <v>687</v>
      </c>
      <c r="P16" t="s">
        <v>736</v>
      </c>
      <c r="Q16">
        <v>6000000</v>
      </c>
      <c r="R16" t="s">
        <v>681</v>
      </c>
      <c r="S16">
        <v>757740598</v>
      </c>
      <c r="T16">
        <v>54</v>
      </c>
      <c r="U16" t="s">
        <v>673</v>
      </c>
      <c r="V16">
        <v>225</v>
      </c>
      <c r="W16" t="s">
        <v>681</v>
      </c>
      <c r="X16" t="s">
        <v>728</v>
      </c>
      <c r="Z16" s="1">
        <v>43479</v>
      </c>
      <c r="AA16">
        <v>1</v>
      </c>
      <c r="AB16" t="s">
        <v>672</v>
      </c>
      <c r="AC16" t="s">
        <v>672</v>
      </c>
      <c r="AG16">
        <v>0</v>
      </c>
      <c r="AL16">
        <v>0</v>
      </c>
      <c r="AM16" t="s">
        <v>672</v>
      </c>
      <c r="AN16" t="s">
        <v>672</v>
      </c>
      <c r="AO16" t="s">
        <v>672</v>
      </c>
      <c r="AP16">
        <v>0</v>
      </c>
      <c r="AQ16">
        <v>1</v>
      </c>
      <c r="AR16" t="s">
        <v>672</v>
      </c>
      <c r="AS16">
        <v>1</v>
      </c>
      <c r="AT16">
        <v>1</v>
      </c>
    </row>
    <row r="17" spans="1:46">
      <c r="A17" t="s">
        <v>10</v>
      </c>
      <c r="B17">
        <v>16</v>
      </c>
      <c r="C17" t="s">
        <v>11</v>
      </c>
      <c r="D17" t="s">
        <v>672</v>
      </c>
      <c r="E17" t="s">
        <v>11</v>
      </c>
      <c r="F17" t="s">
        <v>2125</v>
      </c>
      <c r="G17" t="s">
        <v>739</v>
      </c>
      <c r="H17" t="s">
        <v>740</v>
      </c>
      <c r="I17" t="s">
        <v>738</v>
      </c>
      <c r="J17" t="s">
        <v>676</v>
      </c>
      <c r="K17" t="s">
        <v>677</v>
      </c>
      <c r="L17" t="s">
        <v>741</v>
      </c>
      <c r="M17" t="s">
        <v>681</v>
      </c>
      <c r="N17" t="s">
        <v>681</v>
      </c>
      <c r="O17" t="s">
        <v>742</v>
      </c>
      <c r="P17" t="s">
        <v>681</v>
      </c>
      <c r="R17" t="s">
        <v>681</v>
      </c>
      <c r="S17">
        <v>505938989</v>
      </c>
      <c r="T17">
        <v>54</v>
      </c>
      <c r="U17" t="s">
        <v>673</v>
      </c>
      <c r="V17" t="s">
        <v>681</v>
      </c>
      <c r="W17" t="s">
        <v>681</v>
      </c>
      <c r="X17" t="s">
        <v>737</v>
      </c>
      <c r="Y17" t="s">
        <v>681</v>
      </c>
      <c r="Z17" s="1">
        <v>43479</v>
      </c>
      <c r="AA17">
        <v>1</v>
      </c>
      <c r="AB17" t="s">
        <v>672</v>
      </c>
      <c r="AC17" t="s">
        <v>672</v>
      </c>
      <c r="AG17">
        <v>0</v>
      </c>
      <c r="AL17">
        <v>0</v>
      </c>
      <c r="AM17" t="s">
        <v>672</v>
      </c>
      <c r="AN17" t="s">
        <v>672</v>
      </c>
      <c r="AO17" t="s">
        <v>672</v>
      </c>
      <c r="AP17">
        <v>0</v>
      </c>
      <c r="AQ17">
        <v>1</v>
      </c>
      <c r="AR17" t="s">
        <v>672</v>
      </c>
      <c r="AS17">
        <v>1</v>
      </c>
      <c r="AT17">
        <v>1</v>
      </c>
    </row>
    <row r="18" spans="1:46">
      <c r="A18" t="s">
        <v>530</v>
      </c>
      <c r="B18">
        <v>17</v>
      </c>
      <c r="C18" t="s">
        <v>531</v>
      </c>
      <c r="D18" t="s">
        <v>672</v>
      </c>
      <c r="E18" t="s">
        <v>672</v>
      </c>
      <c r="F18" t="s">
        <v>672</v>
      </c>
      <c r="G18" t="s">
        <v>744</v>
      </c>
      <c r="H18" t="s">
        <v>745</v>
      </c>
      <c r="I18" t="s">
        <v>672</v>
      </c>
      <c r="J18" t="s">
        <v>704</v>
      </c>
      <c r="K18" t="s">
        <v>712</v>
      </c>
      <c r="L18" t="s">
        <v>672</v>
      </c>
      <c r="M18" t="s">
        <v>672</v>
      </c>
      <c r="N18" t="s">
        <v>672</v>
      </c>
      <c r="O18" t="s">
        <v>746</v>
      </c>
      <c r="P18" t="s">
        <v>672</v>
      </c>
      <c r="Q18" t="s">
        <v>672</v>
      </c>
      <c r="R18" t="s">
        <v>672</v>
      </c>
      <c r="S18">
        <v>757893651</v>
      </c>
      <c r="T18">
        <v>54</v>
      </c>
      <c r="U18" t="s">
        <v>673</v>
      </c>
      <c r="V18" t="s">
        <v>672</v>
      </c>
      <c r="W18" t="s">
        <v>672</v>
      </c>
      <c r="X18" t="s">
        <v>743</v>
      </c>
      <c r="Y18" t="s">
        <v>672</v>
      </c>
      <c r="Z18" s="1">
        <v>43479</v>
      </c>
      <c r="AA18">
        <v>1</v>
      </c>
      <c r="AB18" t="s">
        <v>672</v>
      </c>
      <c r="AC18" t="s">
        <v>672</v>
      </c>
      <c r="AD18" t="s">
        <v>672</v>
      </c>
      <c r="AE18" t="s">
        <v>672</v>
      </c>
      <c r="AF18" t="s">
        <v>672</v>
      </c>
      <c r="AG18" t="s">
        <v>672</v>
      </c>
      <c r="AH18" t="s">
        <v>672</v>
      </c>
      <c r="AI18" t="s">
        <v>672</v>
      </c>
      <c r="AJ18" t="s">
        <v>672</v>
      </c>
      <c r="AK18" t="s">
        <v>672</v>
      </c>
      <c r="AL18" t="s">
        <v>672</v>
      </c>
      <c r="AM18" t="s">
        <v>672</v>
      </c>
      <c r="AN18" t="s">
        <v>672</v>
      </c>
      <c r="AO18" t="s">
        <v>672</v>
      </c>
      <c r="AP18">
        <v>3</v>
      </c>
      <c r="AQ18">
        <v>1</v>
      </c>
      <c r="AR18" t="s">
        <v>672</v>
      </c>
      <c r="AS18">
        <v>1</v>
      </c>
      <c r="AT18">
        <v>1</v>
      </c>
    </row>
    <row r="19" spans="1:46">
      <c r="A19" t="s">
        <v>514</v>
      </c>
      <c r="B19">
        <v>18</v>
      </c>
      <c r="C19" t="s">
        <v>515</v>
      </c>
      <c r="D19" t="s">
        <v>672</v>
      </c>
      <c r="E19" t="s">
        <v>672</v>
      </c>
      <c r="F19" t="s">
        <v>672</v>
      </c>
      <c r="G19" t="s">
        <v>748</v>
      </c>
      <c r="H19" t="s">
        <v>749</v>
      </c>
      <c r="I19" t="s">
        <v>672</v>
      </c>
      <c r="J19" t="s">
        <v>676</v>
      </c>
      <c r="K19" t="s">
        <v>677</v>
      </c>
      <c r="L19" t="s">
        <v>672</v>
      </c>
      <c r="M19" t="s">
        <v>672</v>
      </c>
      <c r="N19" t="s">
        <v>672</v>
      </c>
      <c r="O19" t="s">
        <v>750</v>
      </c>
      <c r="P19" t="s">
        <v>672</v>
      </c>
      <c r="Q19" t="s">
        <v>672</v>
      </c>
      <c r="R19" t="s">
        <v>672</v>
      </c>
      <c r="S19">
        <v>505050371</v>
      </c>
      <c r="T19">
        <v>54</v>
      </c>
      <c r="U19" t="s">
        <v>673</v>
      </c>
      <c r="V19" t="s">
        <v>672</v>
      </c>
      <c r="W19" t="s">
        <v>672</v>
      </c>
      <c r="X19" t="s">
        <v>747</v>
      </c>
      <c r="Y19" t="s">
        <v>672</v>
      </c>
      <c r="Z19" s="1">
        <v>43479</v>
      </c>
      <c r="AA19">
        <v>1</v>
      </c>
      <c r="AB19" t="s">
        <v>672</v>
      </c>
      <c r="AC19" t="s">
        <v>672</v>
      </c>
      <c r="AD19" t="s">
        <v>672</v>
      </c>
      <c r="AE19" t="s">
        <v>672</v>
      </c>
      <c r="AF19" t="s">
        <v>672</v>
      </c>
      <c r="AG19" t="s">
        <v>672</v>
      </c>
      <c r="AH19" t="s">
        <v>672</v>
      </c>
      <c r="AI19" t="s">
        <v>672</v>
      </c>
      <c r="AJ19" t="s">
        <v>672</v>
      </c>
      <c r="AK19" t="s">
        <v>672</v>
      </c>
      <c r="AL19" t="s">
        <v>672</v>
      </c>
      <c r="AM19" t="s">
        <v>672</v>
      </c>
      <c r="AN19" t="s">
        <v>672</v>
      </c>
      <c r="AO19" t="s">
        <v>672</v>
      </c>
      <c r="AP19">
        <v>3</v>
      </c>
      <c r="AQ19">
        <v>1</v>
      </c>
      <c r="AR19" t="s">
        <v>672</v>
      </c>
      <c r="AS19">
        <v>1</v>
      </c>
      <c r="AT19">
        <v>1</v>
      </c>
    </row>
    <row r="20" spans="1:46">
      <c r="A20" t="s">
        <v>516</v>
      </c>
      <c r="B20">
        <v>19</v>
      </c>
      <c r="C20" t="s">
        <v>751</v>
      </c>
      <c r="D20" t="s">
        <v>672</v>
      </c>
      <c r="E20" t="s">
        <v>672</v>
      </c>
      <c r="F20" t="s">
        <v>672</v>
      </c>
      <c r="G20" t="s">
        <v>753</v>
      </c>
      <c r="H20" t="s">
        <v>754</v>
      </c>
      <c r="I20" t="s">
        <v>672</v>
      </c>
      <c r="J20" t="s">
        <v>676</v>
      </c>
      <c r="K20" t="s">
        <v>677</v>
      </c>
      <c r="L20" t="s">
        <v>672</v>
      </c>
      <c r="M20" t="s">
        <v>672</v>
      </c>
      <c r="N20" t="s">
        <v>672</v>
      </c>
      <c r="O20" t="s">
        <v>750</v>
      </c>
      <c r="P20" t="s">
        <v>672</v>
      </c>
      <c r="Q20" t="s">
        <v>672</v>
      </c>
      <c r="R20" t="s">
        <v>672</v>
      </c>
      <c r="S20">
        <v>779941955</v>
      </c>
      <c r="T20">
        <v>54</v>
      </c>
      <c r="U20" t="s">
        <v>673</v>
      </c>
      <c r="V20" t="s">
        <v>672</v>
      </c>
      <c r="W20" t="s">
        <v>672</v>
      </c>
      <c r="X20" t="s">
        <v>752</v>
      </c>
      <c r="Y20" t="s">
        <v>672</v>
      </c>
      <c r="Z20" s="1">
        <v>43479</v>
      </c>
      <c r="AA20">
        <v>1</v>
      </c>
      <c r="AB20" t="s">
        <v>672</v>
      </c>
      <c r="AC20" t="s">
        <v>672</v>
      </c>
      <c r="AD20" t="s">
        <v>672</v>
      </c>
      <c r="AE20" t="s">
        <v>672</v>
      </c>
      <c r="AF20" t="s">
        <v>672</v>
      </c>
      <c r="AG20" t="s">
        <v>672</v>
      </c>
      <c r="AH20" t="s">
        <v>672</v>
      </c>
      <c r="AI20" t="s">
        <v>672</v>
      </c>
      <c r="AJ20" t="s">
        <v>672</v>
      </c>
      <c r="AK20" t="s">
        <v>672</v>
      </c>
      <c r="AL20" t="s">
        <v>672</v>
      </c>
      <c r="AM20" t="s">
        <v>672</v>
      </c>
      <c r="AN20" t="s">
        <v>672</v>
      </c>
      <c r="AO20" t="s">
        <v>672</v>
      </c>
      <c r="AP20">
        <v>3</v>
      </c>
      <c r="AQ20">
        <v>1</v>
      </c>
      <c r="AR20" t="s">
        <v>672</v>
      </c>
      <c r="AS20">
        <v>1</v>
      </c>
      <c r="AT20">
        <v>1</v>
      </c>
    </row>
    <row r="21" spans="1:46">
      <c r="A21" t="s">
        <v>438</v>
      </c>
      <c r="B21">
        <v>20</v>
      </c>
      <c r="C21" t="s">
        <v>439</v>
      </c>
      <c r="D21" t="s">
        <v>672</v>
      </c>
      <c r="E21" t="s">
        <v>2126</v>
      </c>
      <c r="F21" t="s">
        <v>2127</v>
      </c>
      <c r="G21" t="s">
        <v>758</v>
      </c>
      <c r="H21" t="s">
        <v>759</v>
      </c>
      <c r="I21" t="s">
        <v>757</v>
      </c>
      <c r="J21" t="s">
        <v>704</v>
      </c>
      <c r="K21" t="s">
        <v>677</v>
      </c>
      <c r="L21" t="s">
        <v>2128</v>
      </c>
      <c r="M21" t="s">
        <v>686</v>
      </c>
      <c r="N21">
        <v>222</v>
      </c>
      <c r="O21" t="s">
        <v>687</v>
      </c>
      <c r="P21" t="s">
        <v>760</v>
      </c>
      <c r="Q21" s="2">
        <v>1000000</v>
      </c>
      <c r="R21" t="s">
        <v>681</v>
      </c>
      <c r="S21">
        <v>102377494</v>
      </c>
      <c r="T21">
        <v>54</v>
      </c>
      <c r="U21" t="s">
        <v>673</v>
      </c>
      <c r="V21" t="s">
        <v>756</v>
      </c>
      <c r="W21" t="s">
        <v>681</v>
      </c>
      <c r="X21" t="s">
        <v>755</v>
      </c>
      <c r="Y21" t="s">
        <v>681</v>
      </c>
      <c r="Z21" s="1">
        <v>43479</v>
      </c>
      <c r="AA21">
        <v>1</v>
      </c>
      <c r="AB21" t="s">
        <v>672</v>
      </c>
      <c r="AC21" t="s">
        <v>672</v>
      </c>
      <c r="AG21">
        <v>0</v>
      </c>
      <c r="AL21">
        <v>0</v>
      </c>
      <c r="AM21" t="s">
        <v>672</v>
      </c>
      <c r="AN21" t="s">
        <v>672</v>
      </c>
      <c r="AO21" t="s">
        <v>672</v>
      </c>
      <c r="AP21">
        <v>0</v>
      </c>
      <c r="AQ21">
        <v>1</v>
      </c>
      <c r="AR21" t="s">
        <v>672</v>
      </c>
      <c r="AS21">
        <v>1</v>
      </c>
      <c r="AT21">
        <v>1</v>
      </c>
    </row>
    <row r="22" spans="1:46">
      <c r="A22" t="s">
        <v>249</v>
      </c>
      <c r="B22">
        <v>21</v>
      </c>
      <c r="C22" t="s">
        <v>250</v>
      </c>
      <c r="D22" t="s">
        <v>672</v>
      </c>
      <c r="E22" t="s">
        <v>672</v>
      </c>
      <c r="F22" t="s">
        <v>672</v>
      </c>
      <c r="G22" t="s">
        <v>761</v>
      </c>
      <c r="H22" t="s">
        <v>734</v>
      </c>
      <c r="I22" t="s">
        <v>672</v>
      </c>
      <c r="J22" t="s">
        <v>676</v>
      </c>
      <c r="K22" t="s">
        <v>677</v>
      </c>
      <c r="L22" t="s">
        <v>672</v>
      </c>
      <c r="M22" t="s">
        <v>672</v>
      </c>
      <c r="N22" t="s">
        <v>672</v>
      </c>
      <c r="O22" t="s">
        <v>692</v>
      </c>
      <c r="P22" t="s">
        <v>672</v>
      </c>
      <c r="Q22" t="s">
        <v>672</v>
      </c>
      <c r="R22" t="s">
        <v>672</v>
      </c>
      <c r="S22">
        <v>707063365</v>
      </c>
      <c r="T22">
        <v>54</v>
      </c>
      <c r="U22" t="s">
        <v>673</v>
      </c>
      <c r="V22" t="s">
        <v>672</v>
      </c>
      <c r="W22" t="s">
        <v>672</v>
      </c>
      <c r="X22" t="s">
        <v>706</v>
      </c>
      <c r="Y22" t="s">
        <v>672</v>
      </c>
      <c r="Z22" s="1">
        <v>43522</v>
      </c>
      <c r="AA22">
        <v>1</v>
      </c>
      <c r="AB22" t="s">
        <v>672</v>
      </c>
      <c r="AC22" t="s">
        <v>672</v>
      </c>
      <c r="AD22" t="s">
        <v>672</v>
      </c>
      <c r="AE22" t="s">
        <v>672</v>
      </c>
      <c r="AF22" t="s">
        <v>672</v>
      </c>
      <c r="AG22" t="s">
        <v>672</v>
      </c>
      <c r="AH22" t="s">
        <v>672</v>
      </c>
      <c r="AI22" t="s">
        <v>672</v>
      </c>
      <c r="AJ22" t="s">
        <v>672</v>
      </c>
      <c r="AK22" t="s">
        <v>672</v>
      </c>
      <c r="AL22" t="s">
        <v>672</v>
      </c>
      <c r="AM22" t="s">
        <v>672</v>
      </c>
      <c r="AN22" t="s">
        <v>672</v>
      </c>
      <c r="AO22" t="s">
        <v>672</v>
      </c>
      <c r="AP22">
        <v>3</v>
      </c>
      <c r="AQ22">
        <v>1</v>
      </c>
      <c r="AR22" t="s">
        <v>672</v>
      </c>
      <c r="AS22">
        <v>1</v>
      </c>
      <c r="AT22">
        <v>1</v>
      </c>
    </row>
    <row r="23" spans="1:46">
      <c r="A23" t="s">
        <v>24</v>
      </c>
      <c r="B23">
        <v>22</v>
      </c>
      <c r="C23" t="s">
        <v>762</v>
      </c>
      <c r="D23">
        <v>0</v>
      </c>
      <c r="E23" t="s">
        <v>2129</v>
      </c>
      <c r="F23" t="s">
        <v>2130</v>
      </c>
      <c r="G23" t="s">
        <v>765</v>
      </c>
      <c r="H23" t="s">
        <v>766</v>
      </c>
      <c r="I23" t="s">
        <v>764</v>
      </c>
      <c r="J23" t="s">
        <v>676</v>
      </c>
      <c r="K23" t="s">
        <v>677</v>
      </c>
      <c r="L23" t="s">
        <v>767</v>
      </c>
      <c r="M23" t="s">
        <v>768</v>
      </c>
      <c r="N23">
        <v>39</v>
      </c>
      <c r="O23" t="s">
        <v>687</v>
      </c>
      <c r="P23" t="s">
        <v>769</v>
      </c>
      <c r="R23" t="s">
        <v>681</v>
      </c>
      <c r="S23">
        <v>505060740</v>
      </c>
      <c r="T23">
        <v>54</v>
      </c>
      <c r="U23" t="s">
        <v>673</v>
      </c>
      <c r="W23" t="s">
        <v>681</v>
      </c>
      <c r="X23" t="s">
        <v>763</v>
      </c>
      <c r="Y23" t="s">
        <v>681</v>
      </c>
      <c r="Z23" s="1">
        <v>43844</v>
      </c>
      <c r="AA23">
        <v>1</v>
      </c>
      <c r="AB23" t="s">
        <v>672</v>
      </c>
      <c r="AC23" t="s">
        <v>672</v>
      </c>
      <c r="AG23">
        <v>0</v>
      </c>
      <c r="AL23">
        <v>0</v>
      </c>
      <c r="AM23" t="s">
        <v>672</v>
      </c>
      <c r="AN23" t="s">
        <v>672</v>
      </c>
      <c r="AO23" t="s">
        <v>672</v>
      </c>
      <c r="AP23">
        <v>0</v>
      </c>
      <c r="AQ23">
        <v>1</v>
      </c>
      <c r="AR23" t="s">
        <v>672</v>
      </c>
      <c r="AS23">
        <v>1</v>
      </c>
      <c r="AT23">
        <v>1</v>
      </c>
    </row>
    <row r="24" spans="1:46">
      <c r="A24" t="s">
        <v>34</v>
      </c>
      <c r="B24">
        <v>23</v>
      </c>
      <c r="C24" t="s">
        <v>35</v>
      </c>
      <c r="D24" t="s">
        <v>672</v>
      </c>
      <c r="E24" t="s">
        <v>35</v>
      </c>
      <c r="F24" t="s">
        <v>2121</v>
      </c>
      <c r="G24" t="s">
        <v>772</v>
      </c>
      <c r="H24" t="s">
        <v>773</v>
      </c>
      <c r="I24" t="s">
        <v>771</v>
      </c>
      <c r="J24" t="s">
        <v>676</v>
      </c>
      <c r="K24" t="s">
        <v>677</v>
      </c>
      <c r="L24" t="s">
        <v>774</v>
      </c>
      <c r="M24" t="s">
        <v>775</v>
      </c>
      <c r="N24">
        <v>207</v>
      </c>
      <c r="O24" t="s">
        <v>687</v>
      </c>
      <c r="P24" t="s">
        <v>776</v>
      </c>
      <c r="R24" t="s">
        <v>681</v>
      </c>
      <c r="S24">
        <v>707070392</v>
      </c>
      <c r="T24">
        <v>54</v>
      </c>
      <c r="U24" t="s">
        <v>673</v>
      </c>
      <c r="W24" t="s">
        <v>681</v>
      </c>
      <c r="X24" t="s">
        <v>770</v>
      </c>
      <c r="Z24" s="1">
        <v>43844</v>
      </c>
      <c r="AA24">
        <v>1</v>
      </c>
      <c r="AB24" t="s">
        <v>672</v>
      </c>
      <c r="AC24" t="s">
        <v>672</v>
      </c>
      <c r="AG24">
        <v>0</v>
      </c>
      <c r="AL24">
        <v>0</v>
      </c>
      <c r="AM24" t="s">
        <v>672</v>
      </c>
      <c r="AN24" t="s">
        <v>672</v>
      </c>
      <c r="AO24" t="s">
        <v>672</v>
      </c>
      <c r="AP24">
        <v>0</v>
      </c>
      <c r="AQ24">
        <v>1</v>
      </c>
      <c r="AR24" t="s">
        <v>672</v>
      </c>
      <c r="AS24">
        <v>1</v>
      </c>
      <c r="AT24">
        <v>1</v>
      </c>
    </row>
    <row r="25" spans="1:46">
      <c r="A25" t="s">
        <v>779</v>
      </c>
      <c r="B25">
        <v>24</v>
      </c>
      <c r="C25" t="s">
        <v>777</v>
      </c>
      <c r="D25" t="s">
        <v>672</v>
      </c>
      <c r="E25" t="s">
        <v>672</v>
      </c>
      <c r="F25" t="s">
        <v>672</v>
      </c>
      <c r="G25" t="s">
        <v>780</v>
      </c>
      <c r="H25" t="s">
        <v>781</v>
      </c>
      <c r="I25" t="s">
        <v>672</v>
      </c>
      <c r="J25" t="s">
        <v>704</v>
      </c>
      <c r="K25" t="s">
        <v>677</v>
      </c>
      <c r="L25" t="s">
        <v>672</v>
      </c>
      <c r="M25" t="s">
        <v>672</v>
      </c>
      <c r="N25" t="s">
        <v>672</v>
      </c>
      <c r="O25" t="s">
        <v>705</v>
      </c>
      <c r="P25" t="s">
        <v>672</v>
      </c>
      <c r="Q25" t="s">
        <v>672</v>
      </c>
      <c r="R25" t="s">
        <v>672</v>
      </c>
      <c r="S25">
        <v>2722413235</v>
      </c>
      <c r="T25">
        <v>54</v>
      </c>
      <c r="U25" t="s">
        <v>673</v>
      </c>
      <c r="V25" t="s">
        <v>672</v>
      </c>
      <c r="W25" t="s">
        <v>672</v>
      </c>
      <c r="X25" t="s">
        <v>778</v>
      </c>
      <c r="Y25" t="s">
        <v>672</v>
      </c>
      <c r="Z25" s="1">
        <v>43845</v>
      </c>
      <c r="AA25">
        <v>1</v>
      </c>
      <c r="AB25" t="s">
        <v>672</v>
      </c>
      <c r="AC25" t="s">
        <v>672</v>
      </c>
      <c r="AD25" t="s">
        <v>672</v>
      </c>
      <c r="AE25" t="s">
        <v>672</v>
      </c>
      <c r="AF25" t="s">
        <v>672</v>
      </c>
      <c r="AG25" t="s">
        <v>672</v>
      </c>
      <c r="AH25" t="s">
        <v>672</v>
      </c>
      <c r="AI25" t="s">
        <v>672</v>
      </c>
      <c r="AJ25" t="s">
        <v>672</v>
      </c>
      <c r="AK25" t="s">
        <v>672</v>
      </c>
      <c r="AL25" t="s">
        <v>672</v>
      </c>
      <c r="AM25" t="s">
        <v>672</v>
      </c>
      <c r="AN25" t="s">
        <v>672</v>
      </c>
      <c r="AO25" t="s">
        <v>672</v>
      </c>
      <c r="AP25">
        <v>3</v>
      </c>
      <c r="AQ25">
        <v>1</v>
      </c>
      <c r="AR25" t="s">
        <v>672</v>
      </c>
      <c r="AS25">
        <v>1</v>
      </c>
      <c r="AT25">
        <v>1</v>
      </c>
    </row>
    <row r="26" spans="1:46">
      <c r="A26" t="s">
        <v>26</v>
      </c>
      <c r="B26">
        <v>25</v>
      </c>
      <c r="C26" t="s">
        <v>27</v>
      </c>
      <c r="D26" t="s">
        <v>672</v>
      </c>
      <c r="E26" t="s">
        <v>27</v>
      </c>
      <c r="F26" t="s">
        <v>2125</v>
      </c>
      <c r="G26" t="s">
        <v>783</v>
      </c>
      <c r="H26" t="s">
        <v>784</v>
      </c>
      <c r="J26" t="s">
        <v>676</v>
      </c>
      <c r="K26" t="s">
        <v>677</v>
      </c>
      <c r="L26" t="s">
        <v>785</v>
      </c>
      <c r="M26" t="s">
        <v>786</v>
      </c>
      <c r="N26">
        <v>10</v>
      </c>
      <c r="O26" t="s">
        <v>687</v>
      </c>
      <c r="P26" t="s">
        <v>787</v>
      </c>
      <c r="R26" t="s">
        <v>681</v>
      </c>
      <c r="S26">
        <v>708112943</v>
      </c>
      <c r="T26">
        <v>54</v>
      </c>
      <c r="U26" t="s">
        <v>673</v>
      </c>
      <c r="W26" t="s">
        <v>681</v>
      </c>
      <c r="X26" t="s">
        <v>782</v>
      </c>
      <c r="Z26" s="1">
        <v>43847</v>
      </c>
      <c r="AA26">
        <v>1</v>
      </c>
      <c r="AB26" t="s">
        <v>672</v>
      </c>
      <c r="AC26" t="s">
        <v>672</v>
      </c>
      <c r="AG26">
        <v>0</v>
      </c>
      <c r="AL26">
        <v>0</v>
      </c>
      <c r="AM26" t="s">
        <v>672</v>
      </c>
      <c r="AN26" t="s">
        <v>672</v>
      </c>
      <c r="AO26" t="s">
        <v>672</v>
      </c>
      <c r="AP26">
        <v>0</v>
      </c>
      <c r="AQ26">
        <v>1</v>
      </c>
      <c r="AR26" t="s">
        <v>672</v>
      </c>
      <c r="AS26">
        <v>1</v>
      </c>
      <c r="AT26">
        <v>1</v>
      </c>
    </row>
    <row r="27" spans="1:46">
      <c r="A27" t="s">
        <v>122</v>
      </c>
      <c r="B27">
        <v>26</v>
      </c>
      <c r="C27" t="s">
        <v>123</v>
      </c>
      <c r="D27" t="s">
        <v>672</v>
      </c>
      <c r="E27" t="s">
        <v>2131</v>
      </c>
      <c r="F27" t="s">
        <v>2122</v>
      </c>
      <c r="G27" t="s">
        <v>790</v>
      </c>
      <c r="H27" t="s">
        <v>791</v>
      </c>
      <c r="I27" t="s">
        <v>789</v>
      </c>
      <c r="J27" t="s">
        <v>676</v>
      </c>
      <c r="K27" t="s">
        <v>677</v>
      </c>
      <c r="L27" t="s">
        <v>792</v>
      </c>
      <c r="M27" t="s">
        <v>793</v>
      </c>
      <c r="N27">
        <v>527</v>
      </c>
      <c r="O27" t="s">
        <v>687</v>
      </c>
      <c r="P27" t="s">
        <v>794</v>
      </c>
      <c r="R27" t="s">
        <v>681</v>
      </c>
      <c r="S27">
        <v>778972145</v>
      </c>
      <c r="T27">
        <v>54</v>
      </c>
      <c r="U27" t="s">
        <v>673</v>
      </c>
      <c r="W27" t="s">
        <v>681</v>
      </c>
      <c r="X27" t="s">
        <v>788</v>
      </c>
      <c r="Y27" t="s">
        <v>681</v>
      </c>
      <c r="Z27" s="1">
        <v>43858</v>
      </c>
      <c r="AA27">
        <v>1</v>
      </c>
      <c r="AB27" t="s">
        <v>672</v>
      </c>
      <c r="AC27" t="s">
        <v>672</v>
      </c>
      <c r="AG27">
        <v>0</v>
      </c>
      <c r="AL27">
        <v>0</v>
      </c>
      <c r="AM27" t="s">
        <v>672</v>
      </c>
      <c r="AN27" t="s">
        <v>672</v>
      </c>
      <c r="AO27" t="s">
        <v>672</v>
      </c>
      <c r="AP27">
        <v>0</v>
      </c>
      <c r="AQ27">
        <v>1</v>
      </c>
      <c r="AR27" t="s">
        <v>672</v>
      </c>
      <c r="AS27">
        <v>1</v>
      </c>
      <c r="AT27">
        <v>1</v>
      </c>
    </row>
    <row r="28" spans="1:46">
      <c r="A28" t="s">
        <v>506</v>
      </c>
      <c r="B28">
        <v>27</v>
      </c>
      <c r="C28" t="s">
        <v>507</v>
      </c>
      <c r="D28" t="s">
        <v>672</v>
      </c>
      <c r="E28" t="s">
        <v>672</v>
      </c>
      <c r="F28" t="s">
        <v>672</v>
      </c>
      <c r="G28" t="s">
        <v>796</v>
      </c>
      <c r="H28" t="s">
        <v>797</v>
      </c>
      <c r="I28" t="s">
        <v>672</v>
      </c>
      <c r="J28" t="s">
        <v>704</v>
      </c>
      <c r="K28" t="s">
        <v>677</v>
      </c>
      <c r="L28" t="s">
        <v>672</v>
      </c>
      <c r="M28" t="s">
        <v>672</v>
      </c>
      <c r="N28" t="s">
        <v>672</v>
      </c>
      <c r="O28" t="s">
        <v>798</v>
      </c>
      <c r="P28" t="s">
        <v>672</v>
      </c>
      <c r="Q28" t="s">
        <v>672</v>
      </c>
      <c r="R28" t="s">
        <v>672</v>
      </c>
      <c r="S28">
        <v>779190538</v>
      </c>
      <c r="T28">
        <v>54</v>
      </c>
      <c r="U28" t="s">
        <v>673</v>
      </c>
      <c r="V28" t="s">
        <v>672</v>
      </c>
      <c r="W28" t="s">
        <v>672</v>
      </c>
      <c r="X28" t="s">
        <v>795</v>
      </c>
      <c r="Y28" t="s">
        <v>672</v>
      </c>
      <c r="Z28" s="1">
        <v>44111</v>
      </c>
      <c r="AA28">
        <v>1</v>
      </c>
      <c r="AB28" t="s">
        <v>672</v>
      </c>
      <c r="AC28" t="s">
        <v>672</v>
      </c>
      <c r="AD28" t="s">
        <v>672</v>
      </c>
      <c r="AE28" t="s">
        <v>672</v>
      </c>
      <c r="AF28" t="s">
        <v>672</v>
      </c>
      <c r="AG28" t="s">
        <v>672</v>
      </c>
      <c r="AH28" t="s">
        <v>672</v>
      </c>
      <c r="AI28" t="s">
        <v>672</v>
      </c>
      <c r="AJ28" t="s">
        <v>672</v>
      </c>
      <c r="AK28" t="s">
        <v>672</v>
      </c>
      <c r="AL28" t="s">
        <v>672</v>
      </c>
      <c r="AM28" t="s">
        <v>672</v>
      </c>
      <c r="AN28" t="s">
        <v>672</v>
      </c>
      <c r="AO28" t="s">
        <v>672</v>
      </c>
      <c r="AP28">
        <v>3</v>
      </c>
      <c r="AQ28">
        <v>1</v>
      </c>
      <c r="AR28" t="s">
        <v>672</v>
      </c>
      <c r="AS28">
        <v>1</v>
      </c>
      <c r="AT28">
        <v>1</v>
      </c>
    </row>
    <row r="29" spans="1:46">
      <c r="A29" t="s">
        <v>408</v>
      </c>
      <c r="B29">
        <v>28</v>
      </c>
      <c r="C29" t="s">
        <v>409</v>
      </c>
      <c r="D29" t="s">
        <v>672</v>
      </c>
      <c r="E29" t="s">
        <v>672</v>
      </c>
      <c r="F29" t="s">
        <v>672</v>
      </c>
      <c r="G29" t="s">
        <v>800</v>
      </c>
      <c r="H29" t="s">
        <v>801</v>
      </c>
      <c r="I29" t="s">
        <v>672</v>
      </c>
      <c r="J29" t="s">
        <v>676</v>
      </c>
      <c r="K29" t="s">
        <v>677</v>
      </c>
      <c r="L29" t="s">
        <v>672</v>
      </c>
      <c r="M29" t="s">
        <v>672</v>
      </c>
      <c r="N29" t="s">
        <v>672</v>
      </c>
      <c r="O29" t="s">
        <v>705</v>
      </c>
      <c r="P29" t="s">
        <v>672</v>
      </c>
      <c r="Q29" t="s">
        <v>672</v>
      </c>
      <c r="R29" t="s">
        <v>672</v>
      </c>
      <c r="S29">
        <v>2722527459</v>
      </c>
      <c r="T29">
        <v>54</v>
      </c>
      <c r="U29" t="s">
        <v>673</v>
      </c>
      <c r="V29" t="s">
        <v>672</v>
      </c>
      <c r="W29" t="s">
        <v>672</v>
      </c>
      <c r="X29" t="s">
        <v>799</v>
      </c>
      <c r="Y29" t="s">
        <v>672</v>
      </c>
      <c r="Z29" s="1">
        <v>44197</v>
      </c>
      <c r="AA29">
        <v>1</v>
      </c>
      <c r="AB29" t="s">
        <v>672</v>
      </c>
      <c r="AC29" t="s">
        <v>672</v>
      </c>
      <c r="AD29" t="s">
        <v>672</v>
      </c>
      <c r="AE29" t="s">
        <v>672</v>
      </c>
      <c r="AF29" t="s">
        <v>672</v>
      </c>
      <c r="AG29" t="s">
        <v>672</v>
      </c>
      <c r="AH29" t="s">
        <v>672</v>
      </c>
      <c r="AI29" t="s">
        <v>672</v>
      </c>
      <c r="AJ29" t="s">
        <v>672</v>
      </c>
      <c r="AK29" t="s">
        <v>672</v>
      </c>
      <c r="AL29" t="s">
        <v>672</v>
      </c>
      <c r="AM29" t="s">
        <v>672</v>
      </c>
      <c r="AN29" t="s">
        <v>672</v>
      </c>
      <c r="AO29" t="s">
        <v>672</v>
      </c>
      <c r="AP29">
        <v>3</v>
      </c>
      <c r="AQ29">
        <v>1</v>
      </c>
      <c r="AR29" t="s">
        <v>672</v>
      </c>
      <c r="AS29">
        <v>1</v>
      </c>
      <c r="AT29">
        <v>1</v>
      </c>
    </row>
    <row r="30" spans="1:46">
      <c r="A30" t="s">
        <v>804</v>
      </c>
      <c r="B30">
        <v>29</v>
      </c>
      <c r="C30" t="s">
        <v>802</v>
      </c>
      <c r="D30" t="s">
        <v>672</v>
      </c>
      <c r="E30" t="s">
        <v>672</v>
      </c>
      <c r="F30" t="s">
        <v>672</v>
      </c>
      <c r="G30" t="s">
        <v>805</v>
      </c>
      <c r="H30" t="s">
        <v>806</v>
      </c>
      <c r="I30" t="s">
        <v>672</v>
      </c>
      <c r="J30" t="s">
        <v>676</v>
      </c>
      <c r="K30" t="s">
        <v>677</v>
      </c>
      <c r="L30" t="s">
        <v>672</v>
      </c>
      <c r="M30" t="s">
        <v>672</v>
      </c>
      <c r="N30" t="s">
        <v>672</v>
      </c>
      <c r="O30" t="s">
        <v>678</v>
      </c>
      <c r="P30" t="s">
        <v>672</v>
      </c>
      <c r="Q30" t="s">
        <v>672</v>
      </c>
      <c r="R30" t="s">
        <v>672</v>
      </c>
      <c r="S30">
        <v>708302596</v>
      </c>
      <c r="T30">
        <v>54</v>
      </c>
      <c r="U30" t="s">
        <v>673</v>
      </c>
      <c r="V30" t="s">
        <v>672</v>
      </c>
      <c r="W30" t="s">
        <v>672</v>
      </c>
      <c r="X30" t="s">
        <v>803</v>
      </c>
      <c r="Y30" t="s">
        <v>672</v>
      </c>
      <c r="Z30" s="1">
        <v>44197</v>
      </c>
      <c r="AA30">
        <v>1</v>
      </c>
      <c r="AB30" t="s">
        <v>672</v>
      </c>
      <c r="AC30" t="s">
        <v>672</v>
      </c>
      <c r="AD30" t="s">
        <v>672</v>
      </c>
      <c r="AE30" t="s">
        <v>672</v>
      </c>
      <c r="AF30" t="s">
        <v>672</v>
      </c>
      <c r="AG30" t="s">
        <v>672</v>
      </c>
      <c r="AH30" t="s">
        <v>672</v>
      </c>
      <c r="AI30" t="s">
        <v>672</v>
      </c>
      <c r="AJ30" t="s">
        <v>672</v>
      </c>
      <c r="AK30" t="s">
        <v>672</v>
      </c>
      <c r="AL30" t="s">
        <v>672</v>
      </c>
      <c r="AM30" t="s">
        <v>672</v>
      </c>
      <c r="AN30" t="s">
        <v>672</v>
      </c>
      <c r="AO30" t="s">
        <v>672</v>
      </c>
      <c r="AP30">
        <v>3</v>
      </c>
      <c r="AQ30">
        <v>1</v>
      </c>
      <c r="AR30" t="s">
        <v>672</v>
      </c>
      <c r="AS30">
        <v>1</v>
      </c>
      <c r="AT30">
        <v>1</v>
      </c>
    </row>
    <row r="31" spans="1:46">
      <c r="A31" t="s">
        <v>808</v>
      </c>
      <c r="B31">
        <v>30</v>
      </c>
      <c r="C31" t="s">
        <v>2132</v>
      </c>
      <c r="D31" t="s">
        <v>672</v>
      </c>
      <c r="E31" t="s">
        <v>672</v>
      </c>
      <c r="F31" t="s">
        <v>672</v>
      </c>
      <c r="G31" t="s">
        <v>809</v>
      </c>
      <c r="H31" t="s">
        <v>810</v>
      </c>
      <c r="I31" t="s">
        <v>672</v>
      </c>
      <c r="J31" t="s">
        <v>2133</v>
      </c>
      <c r="K31" t="s">
        <v>677</v>
      </c>
      <c r="L31" t="s">
        <v>672</v>
      </c>
      <c r="M31" t="s">
        <v>672</v>
      </c>
      <c r="N31" t="s">
        <v>672</v>
      </c>
      <c r="O31" t="s">
        <v>678</v>
      </c>
      <c r="P31" t="s">
        <v>672</v>
      </c>
      <c r="Q31" t="s">
        <v>672</v>
      </c>
      <c r="R31" t="s">
        <v>672</v>
      </c>
      <c r="S31">
        <v>2522014025</v>
      </c>
      <c r="T31">
        <v>54</v>
      </c>
      <c r="U31" t="s">
        <v>673</v>
      </c>
      <c r="V31" t="s">
        <v>672</v>
      </c>
      <c r="W31" t="s">
        <v>672</v>
      </c>
      <c r="X31" t="s">
        <v>807</v>
      </c>
      <c r="Y31" t="s">
        <v>672</v>
      </c>
      <c r="Z31" s="1">
        <v>44197</v>
      </c>
      <c r="AA31">
        <v>1</v>
      </c>
      <c r="AB31" t="s">
        <v>672</v>
      </c>
      <c r="AC31" t="s">
        <v>672</v>
      </c>
      <c r="AD31" t="s">
        <v>672</v>
      </c>
      <c r="AE31" t="s">
        <v>672</v>
      </c>
      <c r="AF31" t="s">
        <v>672</v>
      </c>
      <c r="AG31" t="s">
        <v>672</v>
      </c>
      <c r="AH31" t="s">
        <v>672</v>
      </c>
      <c r="AI31" t="s">
        <v>672</v>
      </c>
      <c r="AJ31" t="s">
        <v>672</v>
      </c>
      <c r="AK31" t="s">
        <v>672</v>
      </c>
      <c r="AL31" t="s">
        <v>672</v>
      </c>
      <c r="AM31" t="s">
        <v>672</v>
      </c>
      <c r="AN31" t="s">
        <v>672</v>
      </c>
      <c r="AO31" t="s">
        <v>672</v>
      </c>
      <c r="AP31">
        <v>3</v>
      </c>
      <c r="AQ31">
        <v>1</v>
      </c>
      <c r="AR31" t="s">
        <v>672</v>
      </c>
      <c r="AS31">
        <v>1</v>
      </c>
      <c r="AT31">
        <v>1</v>
      </c>
    </row>
    <row r="32" spans="1:46">
      <c r="A32" t="s">
        <v>554</v>
      </c>
      <c r="B32">
        <v>31</v>
      </c>
      <c r="C32" t="s">
        <v>555</v>
      </c>
      <c r="D32" t="s">
        <v>672</v>
      </c>
      <c r="E32" t="s">
        <v>2134</v>
      </c>
      <c r="F32" t="s">
        <v>2135</v>
      </c>
      <c r="G32" t="s">
        <v>813</v>
      </c>
      <c r="H32" t="s">
        <v>814</v>
      </c>
      <c r="I32" t="s">
        <v>812</v>
      </c>
      <c r="J32" t="s">
        <v>704</v>
      </c>
      <c r="K32" t="s">
        <v>677</v>
      </c>
      <c r="L32" t="s">
        <v>815</v>
      </c>
      <c r="M32" t="s">
        <v>775</v>
      </c>
      <c r="N32">
        <v>281</v>
      </c>
      <c r="O32" t="s">
        <v>687</v>
      </c>
      <c r="P32" t="s">
        <v>816</v>
      </c>
      <c r="Q32" s="2">
        <v>1000000</v>
      </c>
      <c r="R32" t="s">
        <v>681</v>
      </c>
      <c r="S32">
        <v>2722594787</v>
      </c>
      <c r="T32">
        <v>54</v>
      </c>
      <c r="U32" t="s">
        <v>673</v>
      </c>
      <c r="W32" t="s">
        <v>811</v>
      </c>
      <c r="X32" t="s">
        <v>770</v>
      </c>
      <c r="Y32" t="s">
        <v>681</v>
      </c>
      <c r="Z32" s="1">
        <v>44197</v>
      </c>
      <c r="AA32">
        <v>1</v>
      </c>
      <c r="AB32" t="s">
        <v>672</v>
      </c>
      <c r="AC32" t="s">
        <v>672</v>
      </c>
      <c r="AG32">
        <v>0</v>
      </c>
      <c r="AL32">
        <v>0</v>
      </c>
      <c r="AM32" t="s">
        <v>672</v>
      </c>
      <c r="AN32" t="s">
        <v>672</v>
      </c>
      <c r="AO32" t="s">
        <v>672</v>
      </c>
      <c r="AP32">
        <v>0</v>
      </c>
      <c r="AQ32">
        <v>1</v>
      </c>
      <c r="AR32" t="s">
        <v>672</v>
      </c>
      <c r="AS32">
        <v>1</v>
      </c>
      <c r="AT32">
        <v>1</v>
      </c>
    </row>
    <row r="33" spans="1:46">
      <c r="A33" t="s">
        <v>476</v>
      </c>
      <c r="B33">
        <v>32</v>
      </c>
      <c r="C33" t="s">
        <v>477</v>
      </c>
      <c r="D33" t="s">
        <v>672</v>
      </c>
      <c r="E33" t="s">
        <v>672</v>
      </c>
      <c r="F33" t="s">
        <v>672</v>
      </c>
      <c r="G33" t="s">
        <v>818</v>
      </c>
      <c r="H33" t="s">
        <v>819</v>
      </c>
      <c r="I33" t="s">
        <v>672</v>
      </c>
      <c r="J33" t="s">
        <v>704</v>
      </c>
      <c r="K33" t="s">
        <v>677</v>
      </c>
      <c r="L33" t="s">
        <v>672</v>
      </c>
      <c r="M33" t="s">
        <v>672</v>
      </c>
      <c r="N33" t="s">
        <v>672</v>
      </c>
      <c r="O33" t="s">
        <v>798</v>
      </c>
      <c r="P33" t="s">
        <v>672</v>
      </c>
      <c r="Q33" t="s">
        <v>672</v>
      </c>
      <c r="R33" t="s">
        <v>672</v>
      </c>
      <c r="S33">
        <v>707053694</v>
      </c>
      <c r="T33">
        <v>54</v>
      </c>
      <c r="U33" t="s">
        <v>673</v>
      </c>
      <c r="V33" t="s">
        <v>672</v>
      </c>
      <c r="W33" t="s">
        <v>672</v>
      </c>
      <c r="X33" t="s">
        <v>817</v>
      </c>
      <c r="Y33" t="s">
        <v>672</v>
      </c>
      <c r="Z33" s="1">
        <v>44197</v>
      </c>
      <c r="AA33">
        <v>1</v>
      </c>
      <c r="AB33" t="s">
        <v>672</v>
      </c>
      <c r="AC33" t="s">
        <v>672</v>
      </c>
      <c r="AD33" t="s">
        <v>672</v>
      </c>
      <c r="AE33" t="s">
        <v>672</v>
      </c>
      <c r="AF33" t="s">
        <v>672</v>
      </c>
      <c r="AG33" t="s">
        <v>672</v>
      </c>
      <c r="AH33" t="s">
        <v>672</v>
      </c>
      <c r="AI33" t="s">
        <v>672</v>
      </c>
      <c r="AJ33" t="s">
        <v>672</v>
      </c>
      <c r="AK33" t="s">
        <v>672</v>
      </c>
      <c r="AL33" t="s">
        <v>672</v>
      </c>
      <c r="AM33" t="s">
        <v>672</v>
      </c>
      <c r="AN33" t="s">
        <v>672</v>
      </c>
      <c r="AO33" t="s">
        <v>672</v>
      </c>
      <c r="AP33">
        <v>3</v>
      </c>
      <c r="AQ33">
        <v>1</v>
      </c>
      <c r="AR33" t="s">
        <v>672</v>
      </c>
      <c r="AS33">
        <v>1</v>
      </c>
      <c r="AT33">
        <v>1</v>
      </c>
    </row>
    <row r="34" spans="1:46">
      <c r="A34" t="s">
        <v>302</v>
      </c>
      <c r="B34">
        <v>33</v>
      </c>
      <c r="C34" t="s">
        <v>820</v>
      </c>
      <c r="D34" t="s">
        <v>672</v>
      </c>
      <c r="E34" t="s">
        <v>672</v>
      </c>
      <c r="F34" t="s">
        <v>672</v>
      </c>
      <c r="G34" t="s">
        <v>821</v>
      </c>
      <c r="H34" t="s">
        <v>822</v>
      </c>
      <c r="I34" t="s">
        <v>672</v>
      </c>
      <c r="J34" t="s">
        <v>676</v>
      </c>
      <c r="K34" t="s">
        <v>677</v>
      </c>
      <c r="L34" t="s">
        <v>672</v>
      </c>
      <c r="M34" t="s">
        <v>672</v>
      </c>
      <c r="N34" t="s">
        <v>672</v>
      </c>
      <c r="O34" t="s">
        <v>678</v>
      </c>
      <c r="P34" t="s">
        <v>672</v>
      </c>
      <c r="Q34" t="s">
        <v>672</v>
      </c>
      <c r="R34" t="s">
        <v>672</v>
      </c>
      <c r="S34">
        <v>749820808</v>
      </c>
      <c r="T34">
        <v>54</v>
      </c>
      <c r="U34" t="s">
        <v>673</v>
      </c>
      <c r="V34" t="s">
        <v>672</v>
      </c>
      <c r="W34" t="s">
        <v>672</v>
      </c>
      <c r="X34" t="s">
        <v>717</v>
      </c>
      <c r="Y34" t="s">
        <v>672</v>
      </c>
      <c r="Z34" s="1">
        <v>44224</v>
      </c>
      <c r="AA34">
        <v>1</v>
      </c>
      <c r="AB34" t="s">
        <v>672</v>
      </c>
      <c r="AC34" t="s">
        <v>672</v>
      </c>
      <c r="AD34" t="s">
        <v>672</v>
      </c>
      <c r="AE34" t="s">
        <v>672</v>
      </c>
      <c r="AF34" t="s">
        <v>672</v>
      </c>
      <c r="AG34" t="s">
        <v>672</v>
      </c>
      <c r="AH34" t="s">
        <v>672</v>
      </c>
      <c r="AI34" t="s">
        <v>672</v>
      </c>
      <c r="AJ34" t="s">
        <v>672</v>
      </c>
      <c r="AK34" t="s">
        <v>672</v>
      </c>
      <c r="AL34" t="s">
        <v>672</v>
      </c>
      <c r="AM34" t="s">
        <v>672</v>
      </c>
      <c r="AN34" t="s">
        <v>672</v>
      </c>
      <c r="AO34" t="s">
        <v>672</v>
      </c>
      <c r="AP34">
        <v>3</v>
      </c>
      <c r="AQ34">
        <v>1</v>
      </c>
      <c r="AR34" t="s">
        <v>672</v>
      </c>
      <c r="AS34">
        <v>1</v>
      </c>
      <c r="AT34">
        <v>1</v>
      </c>
    </row>
    <row r="35" spans="1:46">
      <c r="A35" t="s">
        <v>126</v>
      </c>
      <c r="B35">
        <v>34</v>
      </c>
      <c r="C35" t="s">
        <v>823</v>
      </c>
      <c r="D35" t="s">
        <v>672</v>
      </c>
      <c r="E35" t="s">
        <v>672</v>
      </c>
      <c r="F35" t="s">
        <v>672</v>
      </c>
      <c r="G35" t="s">
        <v>825</v>
      </c>
      <c r="H35" t="s">
        <v>826</v>
      </c>
      <c r="I35" t="s">
        <v>672</v>
      </c>
      <c r="J35" t="s">
        <v>704</v>
      </c>
      <c r="K35" t="s">
        <v>677</v>
      </c>
      <c r="L35" t="s">
        <v>672</v>
      </c>
      <c r="M35" t="s">
        <v>672</v>
      </c>
      <c r="N35" t="s">
        <v>672</v>
      </c>
      <c r="O35" t="s">
        <v>678</v>
      </c>
      <c r="P35" t="s">
        <v>672</v>
      </c>
      <c r="Q35" t="s">
        <v>672</v>
      </c>
      <c r="R35" t="s">
        <v>672</v>
      </c>
      <c r="S35">
        <v>77767968</v>
      </c>
      <c r="T35">
        <v>54</v>
      </c>
      <c r="U35" t="s">
        <v>673</v>
      </c>
      <c r="V35" t="s">
        <v>672</v>
      </c>
      <c r="W35" t="s">
        <v>672</v>
      </c>
      <c r="X35" t="s">
        <v>824</v>
      </c>
      <c r="Y35" t="s">
        <v>672</v>
      </c>
      <c r="Z35" s="1">
        <v>44224</v>
      </c>
      <c r="AA35">
        <v>1</v>
      </c>
      <c r="AB35" t="s">
        <v>672</v>
      </c>
      <c r="AC35" t="s">
        <v>672</v>
      </c>
      <c r="AD35" t="s">
        <v>672</v>
      </c>
      <c r="AE35" t="s">
        <v>672</v>
      </c>
      <c r="AF35" t="s">
        <v>672</v>
      </c>
      <c r="AG35" t="s">
        <v>672</v>
      </c>
      <c r="AH35" t="s">
        <v>672</v>
      </c>
      <c r="AI35" t="s">
        <v>672</v>
      </c>
      <c r="AJ35" t="s">
        <v>672</v>
      </c>
      <c r="AK35" t="s">
        <v>672</v>
      </c>
      <c r="AL35" t="s">
        <v>672</v>
      </c>
      <c r="AM35" t="s">
        <v>672</v>
      </c>
      <c r="AN35" t="s">
        <v>672</v>
      </c>
      <c r="AO35" t="s">
        <v>672</v>
      </c>
      <c r="AP35">
        <v>3</v>
      </c>
      <c r="AQ35">
        <v>1</v>
      </c>
      <c r="AR35" t="s">
        <v>672</v>
      </c>
      <c r="AS35">
        <v>1</v>
      </c>
      <c r="AT35">
        <v>1</v>
      </c>
    </row>
    <row r="36" spans="1:46">
      <c r="A36" t="s">
        <v>146</v>
      </c>
      <c r="B36">
        <v>35</v>
      </c>
      <c r="C36" t="s">
        <v>827</v>
      </c>
      <c r="D36">
        <v>76</v>
      </c>
      <c r="E36" t="s">
        <v>19</v>
      </c>
      <c r="F36" t="s">
        <v>2127</v>
      </c>
      <c r="G36" t="s">
        <v>831</v>
      </c>
      <c r="H36" t="s">
        <v>832</v>
      </c>
      <c r="I36" t="s">
        <v>830</v>
      </c>
      <c r="J36" t="s">
        <v>704</v>
      </c>
      <c r="K36" t="s">
        <v>677</v>
      </c>
      <c r="L36" t="s">
        <v>833</v>
      </c>
      <c r="M36" t="s">
        <v>681</v>
      </c>
      <c r="N36" t="s">
        <v>681</v>
      </c>
      <c r="O36" t="s">
        <v>834</v>
      </c>
      <c r="P36" t="s">
        <v>835</v>
      </c>
      <c r="Q36" s="2">
        <v>5000000</v>
      </c>
      <c r="R36" t="s">
        <v>681</v>
      </c>
      <c r="S36">
        <v>707830824</v>
      </c>
      <c r="T36">
        <v>54</v>
      </c>
      <c r="U36" t="s">
        <v>673</v>
      </c>
      <c r="V36" t="s">
        <v>829</v>
      </c>
      <c r="W36" t="s">
        <v>681</v>
      </c>
      <c r="X36" t="s">
        <v>828</v>
      </c>
      <c r="Y36" t="s">
        <v>681</v>
      </c>
      <c r="Z36" s="1">
        <v>44224</v>
      </c>
      <c r="AA36">
        <v>1</v>
      </c>
      <c r="AB36" t="s">
        <v>672</v>
      </c>
      <c r="AC36" t="s">
        <v>672</v>
      </c>
      <c r="AG36">
        <v>0</v>
      </c>
      <c r="AL36">
        <v>0</v>
      </c>
      <c r="AM36" t="s">
        <v>672</v>
      </c>
      <c r="AN36" t="s">
        <v>672</v>
      </c>
      <c r="AO36" t="s">
        <v>672</v>
      </c>
      <c r="AP36">
        <v>0</v>
      </c>
      <c r="AQ36">
        <v>1</v>
      </c>
      <c r="AR36" t="s">
        <v>672</v>
      </c>
      <c r="AS36">
        <v>1</v>
      </c>
      <c r="AT36">
        <v>1</v>
      </c>
    </row>
    <row r="37" spans="1:46">
      <c r="A37" t="s">
        <v>328</v>
      </c>
      <c r="B37">
        <v>36</v>
      </c>
      <c r="C37" t="s">
        <v>836</v>
      </c>
      <c r="D37" t="s">
        <v>672</v>
      </c>
      <c r="E37" t="s">
        <v>672</v>
      </c>
      <c r="F37" t="s">
        <v>672</v>
      </c>
      <c r="G37" t="s">
        <v>838</v>
      </c>
      <c r="H37" t="s">
        <v>839</v>
      </c>
      <c r="I37" t="s">
        <v>672</v>
      </c>
      <c r="J37" t="s">
        <v>704</v>
      </c>
      <c r="K37" t="s">
        <v>712</v>
      </c>
      <c r="L37" t="s">
        <v>672</v>
      </c>
      <c r="M37" t="s">
        <v>672</v>
      </c>
      <c r="N37" t="s">
        <v>672</v>
      </c>
      <c r="O37" t="s">
        <v>705</v>
      </c>
      <c r="P37" t="s">
        <v>672</v>
      </c>
      <c r="Q37" t="s">
        <v>672</v>
      </c>
      <c r="R37" t="s">
        <v>672</v>
      </c>
      <c r="S37">
        <v>2722427504</v>
      </c>
      <c r="T37">
        <v>54</v>
      </c>
      <c r="U37" t="s">
        <v>673</v>
      </c>
      <c r="V37" t="s">
        <v>672</v>
      </c>
      <c r="W37" t="s">
        <v>672</v>
      </c>
      <c r="X37" t="s">
        <v>2136</v>
      </c>
      <c r="Y37" t="s">
        <v>672</v>
      </c>
      <c r="Z37" s="1">
        <v>44264</v>
      </c>
      <c r="AA37">
        <v>1</v>
      </c>
      <c r="AB37" t="s">
        <v>672</v>
      </c>
      <c r="AC37" t="s">
        <v>672</v>
      </c>
      <c r="AD37" t="s">
        <v>672</v>
      </c>
      <c r="AE37" t="s">
        <v>672</v>
      </c>
      <c r="AF37" t="s">
        <v>672</v>
      </c>
      <c r="AG37" t="s">
        <v>672</v>
      </c>
      <c r="AH37" t="s">
        <v>672</v>
      </c>
      <c r="AI37" t="s">
        <v>672</v>
      </c>
      <c r="AJ37" t="s">
        <v>672</v>
      </c>
      <c r="AK37" t="s">
        <v>672</v>
      </c>
      <c r="AL37" t="s">
        <v>672</v>
      </c>
      <c r="AM37" t="s">
        <v>672</v>
      </c>
      <c r="AN37" t="s">
        <v>672</v>
      </c>
      <c r="AO37" t="s">
        <v>672</v>
      </c>
      <c r="AP37">
        <v>3</v>
      </c>
      <c r="AQ37">
        <v>1</v>
      </c>
      <c r="AR37" t="s">
        <v>672</v>
      </c>
      <c r="AS37">
        <v>1</v>
      </c>
      <c r="AT37">
        <v>1</v>
      </c>
    </row>
    <row r="38" spans="1:46">
      <c r="A38" t="s">
        <v>106</v>
      </c>
      <c r="B38">
        <v>37</v>
      </c>
      <c r="C38" t="s">
        <v>107</v>
      </c>
      <c r="D38" t="s">
        <v>672</v>
      </c>
      <c r="E38" t="s">
        <v>672</v>
      </c>
      <c r="F38" t="s">
        <v>672</v>
      </c>
      <c r="G38" t="s">
        <v>841</v>
      </c>
      <c r="H38" t="s">
        <v>842</v>
      </c>
      <c r="I38" t="s">
        <v>672</v>
      </c>
      <c r="J38" t="s">
        <v>704</v>
      </c>
      <c r="K38" t="s">
        <v>677</v>
      </c>
      <c r="L38" t="s">
        <v>672</v>
      </c>
      <c r="M38" t="s">
        <v>672</v>
      </c>
      <c r="N38" t="s">
        <v>672</v>
      </c>
      <c r="O38" t="s">
        <v>798</v>
      </c>
      <c r="P38" t="s">
        <v>672</v>
      </c>
      <c r="Q38" t="s">
        <v>672</v>
      </c>
      <c r="R38" t="s">
        <v>672</v>
      </c>
      <c r="S38">
        <v>566284952</v>
      </c>
      <c r="T38">
        <v>54</v>
      </c>
      <c r="U38" t="s">
        <v>673</v>
      </c>
      <c r="V38" t="s">
        <v>672</v>
      </c>
      <c r="W38" t="s">
        <v>672</v>
      </c>
      <c r="X38" t="s">
        <v>840</v>
      </c>
      <c r="Y38" t="s">
        <v>672</v>
      </c>
      <c r="Z38" s="1">
        <v>44564</v>
      </c>
      <c r="AA38">
        <v>1</v>
      </c>
      <c r="AB38" t="s">
        <v>672</v>
      </c>
      <c r="AC38" t="s">
        <v>672</v>
      </c>
      <c r="AD38" t="s">
        <v>672</v>
      </c>
      <c r="AE38" t="s">
        <v>672</v>
      </c>
      <c r="AF38" t="s">
        <v>672</v>
      </c>
      <c r="AG38" t="s">
        <v>672</v>
      </c>
      <c r="AH38" t="s">
        <v>672</v>
      </c>
      <c r="AI38" t="s">
        <v>672</v>
      </c>
      <c r="AJ38" t="s">
        <v>672</v>
      </c>
      <c r="AK38" t="s">
        <v>672</v>
      </c>
      <c r="AL38" t="s">
        <v>672</v>
      </c>
      <c r="AM38" t="s">
        <v>672</v>
      </c>
      <c r="AN38" t="s">
        <v>672</v>
      </c>
      <c r="AO38" t="s">
        <v>672</v>
      </c>
      <c r="AP38">
        <v>3</v>
      </c>
      <c r="AQ38">
        <v>1</v>
      </c>
      <c r="AR38" t="s">
        <v>672</v>
      </c>
      <c r="AS38">
        <v>1</v>
      </c>
      <c r="AT38">
        <v>1</v>
      </c>
    </row>
    <row r="39" spans="1:46">
      <c r="A39" t="s">
        <v>20</v>
      </c>
      <c r="B39">
        <v>38</v>
      </c>
      <c r="C39" t="s">
        <v>21</v>
      </c>
      <c r="D39" t="s">
        <v>672</v>
      </c>
      <c r="E39" t="s">
        <v>672</v>
      </c>
      <c r="F39" t="s">
        <v>672</v>
      </c>
      <c r="G39" t="s">
        <v>844</v>
      </c>
      <c r="H39" t="s">
        <v>845</v>
      </c>
      <c r="I39" t="s">
        <v>672</v>
      </c>
      <c r="J39" t="s">
        <v>676</v>
      </c>
      <c r="K39" t="s">
        <v>677</v>
      </c>
      <c r="L39" t="s">
        <v>672</v>
      </c>
      <c r="M39" t="s">
        <v>672</v>
      </c>
      <c r="N39" t="s">
        <v>672</v>
      </c>
      <c r="O39" t="s">
        <v>798</v>
      </c>
      <c r="P39" t="s">
        <v>672</v>
      </c>
      <c r="Q39" t="s">
        <v>672</v>
      </c>
      <c r="R39" t="s">
        <v>672</v>
      </c>
      <c r="S39">
        <v>778120796</v>
      </c>
      <c r="T39">
        <v>54</v>
      </c>
      <c r="U39" t="s">
        <v>673</v>
      </c>
      <c r="V39" t="s">
        <v>672</v>
      </c>
      <c r="W39" t="s">
        <v>672</v>
      </c>
      <c r="X39" t="s">
        <v>843</v>
      </c>
      <c r="Y39" t="s">
        <v>672</v>
      </c>
      <c r="Z39" s="1">
        <v>44574</v>
      </c>
      <c r="AA39">
        <v>1</v>
      </c>
      <c r="AB39" t="s">
        <v>672</v>
      </c>
      <c r="AC39" t="s">
        <v>672</v>
      </c>
      <c r="AD39" t="s">
        <v>672</v>
      </c>
      <c r="AE39" t="s">
        <v>672</v>
      </c>
      <c r="AF39" t="s">
        <v>672</v>
      </c>
      <c r="AG39" t="s">
        <v>672</v>
      </c>
      <c r="AH39" t="s">
        <v>672</v>
      </c>
      <c r="AI39" t="s">
        <v>672</v>
      </c>
      <c r="AJ39" t="s">
        <v>672</v>
      </c>
      <c r="AK39" t="s">
        <v>672</v>
      </c>
      <c r="AL39" t="s">
        <v>672</v>
      </c>
      <c r="AM39" t="s">
        <v>672</v>
      </c>
      <c r="AN39" t="s">
        <v>672</v>
      </c>
      <c r="AO39" t="s">
        <v>672</v>
      </c>
      <c r="AP39">
        <v>3</v>
      </c>
      <c r="AQ39">
        <v>1</v>
      </c>
      <c r="AR39" t="s">
        <v>672</v>
      </c>
      <c r="AS39">
        <v>1</v>
      </c>
      <c r="AT39">
        <v>1</v>
      </c>
    </row>
    <row r="40" spans="1:46">
      <c r="A40" t="s">
        <v>120</v>
      </c>
      <c r="B40">
        <v>39</v>
      </c>
      <c r="C40" t="s">
        <v>121</v>
      </c>
      <c r="D40" t="s">
        <v>672</v>
      </c>
      <c r="E40" t="s">
        <v>672</v>
      </c>
      <c r="F40" t="s">
        <v>672</v>
      </c>
      <c r="G40" t="s">
        <v>847</v>
      </c>
      <c r="H40" t="s">
        <v>848</v>
      </c>
      <c r="I40" t="s">
        <v>672</v>
      </c>
      <c r="J40" t="s">
        <v>704</v>
      </c>
      <c r="K40" t="s">
        <v>677</v>
      </c>
      <c r="L40" t="s">
        <v>672</v>
      </c>
      <c r="M40" t="s">
        <v>672</v>
      </c>
      <c r="N40" t="s">
        <v>672</v>
      </c>
      <c r="O40" t="s">
        <v>705</v>
      </c>
      <c r="P40" t="s">
        <v>672</v>
      </c>
      <c r="Q40" t="s">
        <v>672</v>
      </c>
      <c r="R40" t="s">
        <v>672</v>
      </c>
      <c r="S40">
        <v>103041792</v>
      </c>
      <c r="T40">
        <v>54</v>
      </c>
      <c r="U40" t="s">
        <v>673</v>
      </c>
      <c r="V40" t="s">
        <v>672</v>
      </c>
      <c r="W40" t="s">
        <v>672</v>
      </c>
      <c r="X40" t="s">
        <v>846</v>
      </c>
      <c r="Y40" t="s">
        <v>672</v>
      </c>
      <c r="Z40" s="1">
        <v>44588</v>
      </c>
      <c r="AA40">
        <v>1</v>
      </c>
      <c r="AB40" t="s">
        <v>672</v>
      </c>
      <c r="AC40" t="s">
        <v>672</v>
      </c>
      <c r="AD40" t="s">
        <v>672</v>
      </c>
      <c r="AE40" t="s">
        <v>672</v>
      </c>
      <c r="AF40" t="s">
        <v>672</v>
      </c>
      <c r="AG40" t="s">
        <v>672</v>
      </c>
      <c r="AH40" t="s">
        <v>672</v>
      </c>
      <c r="AI40" t="s">
        <v>672</v>
      </c>
      <c r="AJ40" t="s">
        <v>672</v>
      </c>
      <c r="AK40" t="s">
        <v>672</v>
      </c>
      <c r="AL40" t="s">
        <v>672</v>
      </c>
      <c r="AM40" t="s">
        <v>672</v>
      </c>
      <c r="AN40" t="s">
        <v>672</v>
      </c>
      <c r="AO40" t="s">
        <v>672</v>
      </c>
      <c r="AP40">
        <v>3</v>
      </c>
      <c r="AQ40">
        <v>1</v>
      </c>
      <c r="AR40" t="s">
        <v>672</v>
      </c>
      <c r="AS40">
        <v>1</v>
      </c>
      <c r="AT40">
        <v>1</v>
      </c>
    </row>
    <row r="41" spans="1:46">
      <c r="A41" t="s">
        <v>199</v>
      </c>
      <c r="B41">
        <v>40</v>
      </c>
      <c r="C41" t="s">
        <v>200</v>
      </c>
      <c r="D41" t="s">
        <v>672</v>
      </c>
      <c r="E41" t="s">
        <v>672</v>
      </c>
      <c r="F41" t="s">
        <v>672</v>
      </c>
      <c r="G41" t="s">
        <v>850</v>
      </c>
      <c r="H41" t="s">
        <v>851</v>
      </c>
      <c r="I41" t="s">
        <v>672</v>
      </c>
      <c r="J41" t="s">
        <v>704</v>
      </c>
      <c r="K41" t="s">
        <v>677</v>
      </c>
      <c r="L41" t="s">
        <v>672</v>
      </c>
      <c r="M41" t="s">
        <v>672</v>
      </c>
      <c r="N41" t="s">
        <v>672</v>
      </c>
      <c r="O41" t="s">
        <v>750</v>
      </c>
      <c r="P41" t="s">
        <v>672</v>
      </c>
      <c r="Q41" t="s">
        <v>672</v>
      </c>
      <c r="R41" t="s">
        <v>672</v>
      </c>
      <c r="S41">
        <v>707102042</v>
      </c>
      <c r="T41">
        <v>54</v>
      </c>
      <c r="U41" t="s">
        <v>673</v>
      </c>
      <c r="V41" t="s">
        <v>672</v>
      </c>
      <c r="W41" t="s">
        <v>672</v>
      </c>
      <c r="X41" t="s">
        <v>849</v>
      </c>
      <c r="Y41" t="s">
        <v>672</v>
      </c>
      <c r="Z41" s="1">
        <v>44628</v>
      </c>
      <c r="AA41">
        <v>1</v>
      </c>
      <c r="AB41" t="s">
        <v>672</v>
      </c>
      <c r="AC41" t="s">
        <v>672</v>
      </c>
      <c r="AD41" t="s">
        <v>672</v>
      </c>
      <c r="AE41" t="s">
        <v>672</v>
      </c>
      <c r="AF41" t="s">
        <v>672</v>
      </c>
      <c r="AG41" t="s">
        <v>672</v>
      </c>
      <c r="AH41" t="s">
        <v>672</v>
      </c>
      <c r="AI41" t="s">
        <v>672</v>
      </c>
      <c r="AJ41" t="s">
        <v>672</v>
      </c>
      <c r="AK41" t="s">
        <v>672</v>
      </c>
      <c r="AL41" t="s">
        <v>672</v>
      </c>
      <c r="AM41" t="s">
        <v>672</v>
      </c>
      <c r="AN41" t="s">
        <v>672</v>
      </c>
      <c r="AO41" t="s">
        <v>672</v>
      </c>
      <c r="AP41">
        <v>3</v>
      </c>
      <c r="AQ41">
        <v>1</v>
      </c>
      <c r="AR41" t="s">
        <v>672</v>
      </c>
      <c r="AS41">
        <v>1</v>
      </c>
      <c r="AT41">
        <v>1</v>
      </c>
    </row>
    <row r="42" spans="1:46">
      <c r="A42" t="s">
        <v>390</v>
      </c>
      <c r="B42">
        <v>41</v>
      </c>
      <c r="C42" t="s">
        <v>391</v>
      </c>
      <c r="D42" t="s">
        <v>672</v>
      </c>
      <c r="E42" t="s">
        <v>672</v>
      </c>
      <c r="F42" t="s">
        <v>672</v>
      </c>
      <c r="G42" t="s">
        <v>853</v>
      </c>
      <c r="H42" t="s">
        <v>854</v>
      </c>
      <c r="I42" t="s">
        <v>672</v>
      </c>
      <c r="J42" t="s">
        <v>676</v>
      </c>
      <c r="K42" t="s">
        <v>677</v>
      </c>
      <c r="L42" t="s">
        <v>672</v>
      </c>
      <c r="M42" t="s">
        <v>672</v>
      </c>
      <c r="N42" t="s">
        <v>672</v>
      </c>
      <c r="O42" t="s">
        <v>705</v>
      </c>
      <c r="P42" t="s">
        <v>672</v>
      </c>
      <c r="Q42" t="s">
        <v>672</v>
      </c>
      <c r="R42" t="s">
        <v>672</v>
      </c>
      <c r="S42">
        <v>757284028</v>
      </c>
      <c r="T42">
        <v>54</v>
      </c>
      <c r="U42" t="s">
        <v>673</v>
      </c>
      <c r="V42" t="s">
        <v>672</v>
      </c>
      <c r="W42" t="s">
        <v>672</v>
      </c>
      <c r="X42" t="s">
        <v>852</v>
      </c>
      <c r="Y42" t="s">
        <v>672</v>
      </c>
      <c r="Z42" s="1">
        <v>44680</v>
      </c>
      <c r="AA42">
        <v>1</v>
      </c>
      <c r="AB42" t="s">
        <v>672</v>
      </c>
      <c r="AC42" t="s">
        <v>672</v>
      </c>
      <c r="AD42" t="s">
        <v>672</v>
      </c>
      <c r="AE42" t="s">
        <v>672</v>
      </c>
      <c r="AF42" t="s">
        <v>672</v>
      </c>
      <c r="AG42" t="s">
        <v>672</v>
      </c>
      <c r="AH42" t="s">
        <v>672</v>
      </c>
      <c r="AI42" t="s">
        <v>672</v>
      </c>
      <c r="AJ42" t="s">
        <v>672</v>
      </c>
      <c r="AK42" t="s">
        <v>672</v>
      </c>
      <c r="AL42" t="s">
        <v>672</v>
      </c>
      <c r="AM42" t="s">
        <v>672</v>
      </c>
      <c r="AN42" t="s">
        <v>672</v>
      </c>
      <c r="AO42" t="s">
        <v>672</v>
      </c>
      <c r="AP42">
        <v>3</v>
      </c>
      <c r="AQ42">
        <v>1</v>
      </c>
      <c r="AR42" t="s">
        <v>672</v>
      </c>
      <c r="AS42">
        <v>1</v>
      </c>
      <c r="AT42">
        <v>1</v>
      </c>
    </row>
    <row r="43" spans="1:46">
      <c r="A43" t="s">
        <v>508</v>
      </c>
      <c r="B43">
        <v>42</v>
      </c>
      <c r="C43" t="s">
        <v>509</v>
      </c>
      <c r="D43" t="s">
        <v>672</v>
      </c>
      <c r="E43" t="s">
        <v>672</v>
      </c>
      <c r="F43" t="s">
        <v>672</v>
      </c>
      <c r="G43" t="s">
        <v>856</v>
      </c>
      <c r="H43" t="s">
        <v>857</v>
      </c>
      <c r="I43" t="s">
        <v>672</v>
      </c>
      <c r="J43" t="s">
        <v>704</v>
      </c>
      <c r="K43" t="s">
        <v>677</v>
      </c>
      <c r="L43" t="s">
        <v>672</v>
      </c>
      <c r="M43" t="s">
        <v>672</v>
      </c>
      <c r="N43" t="s">
        <v>672</v>
      </c>
      <c r="O43" t="s">
        <v>705</v>
      </c>
      <c r="P43" t="s">
        <v>672</v>
      </c>
      <c r="Q43" t="s">
        <v>672</v>
      </c>
      <c r="R43" t="s">
        <v>672</v>
      </c>
      <c r="S43">
        <v>707578383</v>
      </c>
      <c r="T43">
        <v>54</v>
      </c>
      <c r="U43" t="s">
        <v>673</v>
      </c>
      <c r="V43" t="s">
        <v>672</v>
      </c>
      <c r="W43" t="s">
        <v>672</v>
      </c>
      <c r="X43" t="s">
        <v>855</v>
      </c>
      <c r="Y43" t="s">
        <v>672</v>
      </c>
      <c r="Z43" s="1">
        <v>44680</v>
      </c>
      <c r="AA43">
        <v>1</v>
      </c>
      <c r="AB43" t="s">
        <v>672</v>
      </c>
      <c r="AC43" t="s">
        <v>672</v>
      </c>
      <c r="AD43" t="s">
        <v>672</v>
      </c>
      <c r="AE43" t="s">
        <v>672</v>
      </c>
      <c r="AF43" t="s">
        <v>672</v>
      </c>
      <c r="AG43" t="s">
        <v>672</v>
      </c>
      <c r="AH43" t="s">
        <v>672</v>
      </c>
      <c r="AI43" t="s">
        <v>672</v>
      </c>
      <c r="AJ43" t="s">
        <v>672</v>
      </c>
      <c r="AK43" t="s">
        <v>672</v>
      </c>
      <c r="AL43" t="s">
        <v>672</v>
      </c>
      <c r="AM43" t="s">
        <v>672</v>
      </c>
      <c r="AN43" t="s">
        <v>672</v>
      </c>
      <c r="AO43" t="s">
        <v>672</v>
      </c>
      <c r="AP43">
        <v>3</v>
      </c>
      <c r="AQ43">
        <v>1</v>
      </c>
      <c r="AR43" t="s">
        <v>672</v>
      </c>
      <c r="AS43">
        <v>1</v>
      </c>
      <c r="AT43">
        <v>1</v>
      </c>
    </row>
    <row r="44" spans="1:46">
      <c r="A44" t="s">
        <v>259</v>
      </c>
      <c r="B44">
        <v>43</v>
      </c>
      <c r="C44" t="s">
        <v>858</v>
      </c>
      <c r="D44" t="s">
        <v>672</v>
      </c>
      <c r="E44" t="s">
        <v>672</v>
      </c>
      <c r="F44" t="s">
        <v>672</v>
      </c>
      <c r="G44" t="s">
        <v>860</v>
      </c>
      <c r="H44" t="s">
        <v>861</v>
      </c>
      <c r="I44" t="s">
        <v>672</v>
      </c>
      <c r="J44" t="s">
        <v>704</v>
      </c>
      <c r="K44" t="s">
        <v>677</v>
      </c>
      <c r="L44" t="s">
        <v>672</v>
      </c>
      <c r="M44" t="s">
        <v>672</v>
      </c>
      <c r="N44" t="s">
        <v>672</v>
      </c>
      <c r="O44" t="s">
        <v>678</v>
      </c>
      <c r="P44" t="s">
        <v>672</v>
      </c>
      <c r="Q44" t="s">
        <v>672</v>
      </c>
      <c r="R44" t="s">
        <v>672</v>
      </c>
      <c r="S44">
        <v>707262649</v>
      </c>
      <c r="T44">
        <v>54</v>
      </c>
      <c r="U44" t="s">
        <v>673</v>
      </c>
      <c r="V44" t="s">
        <v>672</v>
      </c>
      <c r="W44" t="s">
        <v>672</v>
      </c>
      <c r="X44" t="s">
        <v>859</v>
      </c>
      <c r="Y44" t="s">
        <v>672</v>
      </c>
      <c r="Z44" s="1">
        <v>44939</v>
      </c>
      <c r="AA44">
        <v>1</v>
      </c>
      <c r="AB44" t="s">
        <v>672</v>
      </c>
      <c r="AC44" t="s">
        <v>672</v>
      </c>
      <c r="AD44" t="s">
        <v>672</v>
      </c>
      <c r="AE44" t="s">
        <v>672</v>
      </c>
      <c r="AF44" t="s">
        <v>672</v>
      </c>
      <c r="AG44" t="s">
        <v>672</v>
      </c>
      <c r="AH44" t="s">
        <v>672</v>
      </c>
      <c r="AI44" t="s">
        <v>672</v>
      </c>
      <c r="AJ44" t="s">
        <v>672</v>
      </c>
      <c r="AK44" t="s">
        <v>672</v>
      </c>
      <c r="AL44" t="s">
        <v>672</v>
      </c>
      <c r="AM44" t="s">
        <v>672</v>
      </c>
      <c r="AN44" t="s">
        <v>672</v>
      </c>
      <c r="AO44" t="s">
        <v>672</v>
      </c>
      <c r="AP44">
        <v>3</v>
      </c>
      <c r="AQ44">
        <v>1</v>
      </c>
      <c r="AR44" t="s">
        <v>672</v>
      </c>
      <c r="AS44">
        <v>1</v>
      </c>
      <c r="AT44">
        <v>1</v>
      </c>
    </row>
    <row r="45" spans="1:46">
      <c r="A45" t="s">
        <v>233</v>
      </c>
      <c r="B45">
        <v>44</v>
      </c>
      <c r="C45" t="s">
        <v>234</v>
      </c>
      <c r="D45">
        <v>122</v>
      </c>
      <c r="E45" t="s">
        <v>2137</v>
      </c>
      <c r="F45" t="s">
        <v>2127</v>
      </c>
      <c r="G45" t="s">
        <v>866</v>
      </c>
      <c r="H45" t="s">
        <v>867</v>
      </c>
      <c r="I45" t="s">
        <v>865</v>
      </c>
      <c r="J45" t="s">
        <v>704</v>
      </c>
      <c r="K45" t="s">
        <v>677</v>
      </c>
      <c r="L45" t="s">
        <v>868</v>
      </c>
      <c r="M45" t="s">
        <v>869</v>
      </c>
      <c r="N45">
        <v>71</v>
      </c>
      <c r="O45" t="s">
        <v>687</v>
      </c>
      <c r="P45" t="s">
        <v>870</v>
      </c>
      <c r="Q45" s="2">
        <v>1000000</v>
      </c>
      <c r="R45" t="s">
        <v>681</v>
      </c>
      <c r="S45">
        <v>747994794</v>
      </c>
      <c r="T45">
        <v>54</v>
      </c>
      <c r="U45" t="s">
        <v>673</v>
      </c>
      <c r="V45" t="s">
        <v>863</v>
      </c>
      <c r="W45" t="s">
        <v>864</v>
      </c>
      <c r="X45" t="s">
        <v>862</v>
      </c>
      <c r="Y45" t="s">
        <v>681</v>
      </c>
      <c r="Z45" s="1">
        <v>44952</v>
      </c>
      <c r="AA45">
        <v>1</v>
      </c>
      <c r="AB45" t="s">
        <v>672</v>
      </c>
      <c r="AC45" t="s">
        <v>672</v>
      </c>
      <c r="AG45">
        <v>0</v>
      </c>
      <c r="AL45">
        <v>0</v>
      </c>
      <c r="AM45" t="s">
        <v>672</v>
      </c>
      <c r="AN45" t="s">
        <v>672</v>
      </c>
      <c r="AO45" t="s">
        <v>672</v>
      </c>
      <c r="AP45">
        <v>0</v>
      </c>
      <c r="AQ45">
        <v>1</v>
      </c>
      <c r="AR45" t="s">
        <v>672</v>
      </c>
      <c r="AS45">
        <v>1</v>
      </c>
      <c r="AT45">
        <v>1</v>
      </c>
    </row>
    <row r="46" spans="1:46">
      <c r="A46" t="s">
        <v>875</v>
      </c>
      <c r="B46">
        <v>45</v>
      </c>
      <c r="C46" t="s">
        <v>871</v>
      </c>
      <c r="D46">
        <v>127</v>
      </c>
      <c r="E46" t="s">
        <v>2138</v>
      </c>
      <c r="F46" t="s">
        <v>2139</v>
      </c>
      <c r="G46" t="s">
        <v>876</v>
      </c>
      <c r="H46" t="s">
        <v>877</v>
      </c>
      <c r="I46" t="s">
        <v>874</v>
      </c>
      <c r="J46" t="s">
        <v>704</v>
      </c>
      <c r="K46" t="s">
        <v>677</v>
      </c>
      <c r="L46" t="s">
        <v>878</v>
      </c>
      <c r="M46" t="s">
        <v>793</v>
      </c>
      <c r="N46">
        <v>527</v>
      </c>
      <c r="O46" t="s">
        <v>687</v>
      </c>
      <c r="P46" t="s">
        <v>879</v>
      </c>
      <c r="Q46" s="2">
        <v>1000000</v>
      </c>
      <c r="R46" t="s">
        <v>681</v>
      </c>
      <c r="S46">
        <v>709310771</v>
      </c>
      <c r="T46">
        <v>54</v>
      </c>
      <c r="U46" t="s">
        <v>673</v>
      </c>
      <c r="V46" t="s">
        <v>873</v>
      </c>
      <c r="W46" t="s">
        <v>681</v>
      </c>
      <c r="X46" t="s">
        <v>872</v>
      </c>
      <c r="Y46" t="s">
        <v>681</v>
      </c>
      <c r="Z46" s="1">
        <v>44952</v>
      </c>
      <c r="AA46">
        <v>1</v>
      </c>
      <c r="AB46" t="s">
        <v>672</v>
      </c>
      <c r="AC46" t="s">
        <v>672</v>
      </c>
      <c r="AG46">
        <v>0</v>
      </c>
      <c r="AL46">
        <v>0</v>
      </c>
      <c r="AM46" t="s">
        <v>672</v>
      </c>
      <c r="AN46" t="s">
        <v>672</v>
      </c>
      <c r="AO46" t="s">
        <v>672</v>
      </c>
      <c r="AP46">
        <v>0</v>
      </c>
      <c r="AQ46">
        <v>1</v>
      </c>
      <c r="AR46" t="s">
        <v>672</v>
      </c>
      <c r="AS46">
        <v>1</v>
      </c>
      <c r="AT46">
        <v>1</v>
      </c>
    </row>
    <row r="47" spans="1:46">
      <c r="A47" t="s">
        <v>118</v>
      </c>
      <c r="B47">
        <v>46</v>
      </c>
      <c r="C47" t="s">
        <v>880</v>
      </c>
      <c r="D47">
        <v>114</v>
      </c>
      <c r="E47" t="s">
        <v>2140</v>
      </c>
      <c r="F47" t="s">
        <v>882</v>
      </c>
      <c r="G47" t="s">
        <v>885</v>
      </c>
      <c r="H47" t="s">
        <v>886</v>
      </c>
      <c r="I47" t="s">
        <v>884</v>
      </c>
      <c r="J47" t="s">
        <v>704</v>
      </c>
      <c r="K47" t="s">
        <v>677</v>
      </c>
      <c r="L47" t="s">
        <v>887</v>
      </c>
      <c r="M47" t="s">
        <v>888</v>
      </c>
      <c r="N47">
        <v>73</v>
      </c>
      <c r="O47" t="s">
        <v>687</v>
      </c>
      <c r="P47" t="s">
        <v>889</v>
      </c>
      <c r="Q47" s="2">
        <v>1000000</v>
      </c>
      <c r="R47" t="s">
        <v>681</v>
      </c>
      <c r="S47">
        <v>709310771</v>
      </c>
      <c r="T47">
        <v>54</v>
      </c>
      <c r="U47" t="s">
        <v>673</v>
      </c>
      <c r="V47" t="s">
        <v>883</v>
      </c>
      <c r="W47" t="s">
        <v>681</v>
      </c>
      <c r="X47" t="s">
        <v>881</v>
      </c>
      <c r="Y47" t="s">
        <v>681</v>
      </c>
      <c r="Z47" s="1">
        <v>44953</v>
      </c>
      <c r="AA47">
        <v>1</v>
      </c>
      <c r="AB47" t="s">
        <v>672</v>
      </c>
      <c r="AC47" t="s">
        <v>672</v>
      </c>
      <c r="AG47">
        <v>0</v>
      </c>
      <c r="AL47">
        <v>0</v>
      </c>
      <c r="AM47" t="s">
        <v>672</v>
      </c>
      <c r="AN47" t="s">
        <v>672</v>
      </c>
      <c r="AO47" t="s">
        <v>672</v>
      </c>
      <c r="AP47">
        <v>0</v>
      </c>
      <c r="AQ47">
        <v>1</v>
      </c>
      <c r="AR47" t="s">
        <v>672</v>
      </c>
      <c r="AS47">
        <v>1</v>
      </c>
      <c r="AT47">
        <v>1</v>
      </c>
    </row>
    <row r="48" spans="1:46">
      <c r="A48" t="s">
        <v>130</v>
      </c>
      <c r="B48">
        <v>47</v>
      </c>
      <c r="C48" t="s">
        <v>131</v>
      </c>
      <c r="D48">
        <v>70</v>
      </c>
      <c r="E48" t="s">
        <v>2141</v>
      </c>
      <c r="F48" t="s">
        <v>2139</v>
      </c>
      <c r="G48" t="s">
        <v>893</v>
      </c>
      <c r="H48" t="s">
        <v>894</v>
      </c>
      <c r="I48" t="s">
        <v>892</v>
      </c>
      <c r="J48" t="s">
        <v>704</v>
      </c>
      <c r="K48" t="s">
        <v>677</v>
      </c>
      <c r="L48" t="s">
        <v>895</v>
      </c>
      <c r="M48" t="s">
        <v>775</v>
      </c>
      <c r="N48" t="s">
        <v>681</v>
      </c>
      <c r="O48" t="s">
        <v>687</v>
      </c>
      <c r="P48" t="s">
        <v>896</v>
      </c>
      <c r="Q48">
        <v>700000</v>
      </c>
      <c r="R48" t="s">
        <v>681</v>
      </c>
      <c r="S48">
        <v>797923730</v>
      </c>
      <c r="T48">
        <v>54</v>
      </c>
      <c r="U48" t="s">
        <v>673</v>
      </c>
      <c r="V48" t="s">
        <v>891</v>
      </c>
      <c r="W48" t="s">
        <v>681</v>
      </c>
      <c r="X48" t="s">
        <v>890</v>
      </c>
      <c r="Y48" t="s">
        <v>681</v>
      </c>
      <c r="Z48" s="1">
        <v>44953</v>
      </c>
      <c r="AA48">
        <v>1</v>
      </c>
      <c r="AB48" t="s">
        <v>672</v>
      </c>
      <c r="AC48" t="s">
        <v>672</v>
      </c>
      <c r="AG48">
        <v>0</v>
      </c>
      <c r="AL48">
        <v>0</v>
      </c>
      <c r="AM48" t="s">
        <v>672</v>
      </c>
      <c r="AN48" t="s">
        <v>672</v>
      </c>
      <c r="AO48" t="s">
        <v>672</v>
      </c>
      <c r="AP48">
        <v>0</v>
      </c>
      <c r="AQ48">
        <v>1</v>
      </c>
      <c r="AR48" t="s">
        <v>672</v>
      </c>
      <c r="AS48">
        <v>1</v>
      </c>
      <c r="AT48">
        <v>1</v>
      </c>
    </row>
    <row r="49" spans="1:46">
      <c r="A49" t="s">
        <v>316</v>
      </c>
      <c r="B49">
        <v>48</v>
      </c>
      <c r="C49" t="s">
        <v>897</v>
      </c>
      <c r="D49">
        <v>113</v>
      </c>
      <c r="E49" t="s">
        <v>2142</v>
      </c>
      <c r="F49" t="s">
        <v>2139</v>
      </c>
      <c r="G49" t="s">
        <v>901</v>
      </c>
      <c r="H49" t="s">
        <v>902</v>
      </c>
      <c r="I49" t="s">
        <v>900</v>
      </c>
      <c r="J49" t="s">
        <v>704</v>
      </c>
      <c r="K49" t="s">
        <v>677</v>
      </c>
      <c r="L49" t="s">
        <v>903</v>
      </c>
      <c r="M49" t="s">
        <v>793</v>
      </c>
      <c r="N49">
        <v>527</v>
      </c>
      <c r="O49" t="s">
        <v>687</v>
      </c>
      <c r="P49" t="s">
        <v>904</v>
      </c>
      <c r="Q49" s="2">
        <v>10000000</v>
      </c>
      <c r="R49" t="s">
        <v>681</v>
      </c>
      <c r="S49">
        <v>708414136</v>
      </c>
      <c r="T49">
        <v>54</v>
      </c>
      <c r="U49" t="s">
        <v>673</v>
      </c>
      <c r="V49" t="s">
        <v>899</v>
      </c>
      <c r="W49" t="s">
        <v>681</v>
      </c>
      <c r="X49" t="s">
        <v>898</v>
      </c>
      <c r="Y49" t="s">
        <v>681</v>
      </c>
      <c r="Z49" s="1">
        <v>44956</v>
      </c>
      <c r="AA49">
        <v>1</v>
      </c>
      <c r="AB49" t="s">
        <v>672</v>
      </c>
      <c r="AC49" t="s">
        <v>672</v>
      </c>
      <c r="AG49">
        <v>0</v>
      </c>
      <c r="AL49">
        <v>0</v>
      </c>
      <c r="AM49" t="s">
        <v>672</v>
      </c>
      <c r="AN49" t="s">
        <v>672</v>
      </c>
      <c r="AO49" t="s">
        <v>672</v>
      </c>
      <c r="AP49">
        <v>0</v>
      </c>
      <c r="AQ49">
        <v>1</v>
      </c>
      <c r="AR49" t="s">
        <v>672</v>
      </c>
      <c r="AS49">
        <v>1</v>
      </c>
      <c r="AT49">
        <v>1</v>
      </c>
    </row>
    <row r="50" spans="1:46">
      <c r="A50" t="s">
        <v>46</v>
      </c>
      <c r="B50">
        <v>49</v>
      </c>
      <c r="C50" t="s">
        <v>47</v>
      </c>
      <c r="D50" t="s">
        <v>672</v>
      </c>
      <c r="E50" t="s">
        <v>2143</v>
      </c>
      <c r="F50" t="s">
        <v>905</v>
      </c>
      <c r="G50" t="s">
        <v>907</v>
      </c>
      <c r="H50" t="s">
        <v>908</v>
      </c>
      <c r="I50" t="s">
        <v>906</v>
      </c>
      <c r="J50" t="s">
        <v>704</v>
      </c>
      <c r="K50" t="s">
        <v>677</v>
      </c>
      <c r="L50" t="s">
        <v>909</v>
      </c>
      <c r="M50" t="s">
        <v>793</v>
      </c>
      <c r="N50">
        <v>13</v>
      </c>
      <c r="O50" t="s">
        <v>687</v>
      </c>
      <c r="P50" t="s">
        <v>910</v>
      </c>
      <c r="Q50" s="2">
        <v>10000000</v>
      </c>
      <c r="R50" t="s">
        <v>681</v>
      </c>
      <c r="S50">
        <v>708414136</v>
      </c>
      <c r="T50">
        <v>54</v>
      </c>
      <c r="U50" t="s">
        <v>673</v>
      </c>
      <c r="V50" t="s">
        <v>899</v>
      </c>
      <c r="W50" t="s">
        <v>681</v>
      </c>
      <c r="X50" t="s">
        <v>782</v>
      </c>
      <c r="Y50" t="s">
        <v>681</v>
      </c>
      <c r="Z50" s="1">
        <v>44956</v>
      </c>
      <c r="AA50">
        <v>1</v>
      </c>
      <c r="AB50" t="s">
        <v>672</v>
      </c>
      <c r="AC50" t="s">
        <v>672</v>
      </c>
      <c r="AG50">
        <v>0</v>
      </c>
      <c r="AL50">
        <v>0</v>
      </c>
      <c r="AM50" t="s">
        <v>672</v>
      </c>
      <c r="AN50" t="s">
        <v>672</v>
      </c>
      <c r="AO50" t="s">
        <v>672</v>
      </c>
      <c r="AP50">
        <v>0</v>
      </c>
      <c r="AQ50">
        <v>1</v>
      </c>
      <c r="AR50" t="s">
        <v>672</v>
      </c>
      <c r="AS50">
        <v>1</v>
      </c>
      <c r="AT50">
        <v>1</v>
      </c>
    </row>
    <row r="51" spans="1:46">
      <c r="A51" t="s">
        <v>560</v>
      </c>
      <c r="B51">
        <v>50</v>
      </c>
      <c r="C51" t="s">
        <v>911</v>
      </c>
      <c r="D51" t="s">
        <v>672</v>
      </c>
      <c r="E51" t="s">
        <v>672</v>
      </c>
      <c r="F51" t="s">
        <v>672</v>
      </c>
      <c r="G51" t="s">
        <v>913</v>
      </c>
      <c r="H51" t="s">
        <v>914</v>
      </c>
      <c r="I51" t="s">
        <v>672</v>
      </c>
      <c r="J51" t="s">
        <v>704</v>
      </c>
      <c r="K51" t="s">
        <v>677</v>
      </c>
      <c r="L51" t="s">
        <v>672</v>
      </c>
      <c r="M51" t="s">
        <v>672</v>
      </c>
      <c r="N51" t="s">
        <v>672</v>
      </c>
      <c r="O51" t="s">
        <v>692</v>
      </c>
      <c r="P51" t="s">
        <v>672</v>
      </c>
      <c r="Q51" t="s">
        <v>672</v>
      </c>
      <c r="R51" t="s">
        <v>672</v>
      </c>
      <c r="S51">
        <v>767787637</v>
      </c>
      <c r="T51">
        <v>54</v>
      </c>
      <c r="U51" t="s">
        <v>673</v>
      </c>
      <c r="V51" t="s">
        <v>672</v>
      </c>
      <c r="W51" t="s">
        <v>672</v>
      </c>
      <c r="X51" t="s">
        <v>912</v>
      </c>
      <c r="Y51" t="s">
        <v>672</v>
      </c>
      <c r="Z51" s="1">
        <v>44957</v>
      </c>
      <c r="AA51">
        <v>1</v>
      </c>
      <c r="AB51" t="s">
        <v>672</v>
      </c>
      <c r="AC51" t="s">
        <v>672</v>
      </c>
      <c r="AD51" t="s">
        <v>672</v>
      </c>
      <c r="AE51" t="s">
        <v>672</v>
      </c>
      <c r="AF51" t="s">
        <v>672</v>
      </c>
      <c r="AG51" t="s">
        <v>672</v>
      </c>
      <c r="AH51" t="s">
        <v>672</v>
      </c>
      <c r="AI51" t="s">
        <v>672</v>
      </c>
      <c r="AJ51" t="s">
        <v>672</v>
      </c>
      <c r="AK51" t="s">
        <v>672</v>
      </c>
      <c r="AL51" t="s">
        <v>672</v>
      </c>
      <c r="AM51" t="s">
        <v>672</v>
      </c>
      <c r="AN51" t="s">
        <v>672</v>
      </c>
      <c r="AO51" t="s">
        <v>672</v>
      </c>
      <c r="AP51">
        <v>3</v>
      </c>
      <c r="AQ51">
        <v>1</v>
      </c>
      <c r="AR51" t="s">
        <v>672</v>
      </c>
      <c r="AS51">
        <v>1</v>
      </c>
      <c r="AT51">
        <v>1</v>
      </c>
    </row>
    <row r="52" spans="1:46">
      <c r="A52" t="s">
        <v>179</v>
      </c>
      <c r="B52">
        <v>51</v>
      </c>
      <c r="C52" t="s">
        <v>915</v>
      </c>
      <c r="D52" t="s">
        <v>672</v>
      </c>
      <c r="E52" t="s">
        <v>672</v>
      </c>
      <c r="F52" t="s">
        <v>672</v>
      </c>
      <c r="G52" t="s">
        <v>916</v>
      </c>
      <c r="I52" t="s">
        <v>672</v>
      </c>
      <c r="J52" t="s">
        <v>917</v>
      </c>
      <c r="K52" t="s">
        <v>712</v>
      </c>
      <c r="L52" t="s">
        <v>672</v>
      </c>
      <c r="M52" t="s">
        <v>672</v>
      </c>
      <c r="N52" t="s">
        <v>672</v>
      </c>
      <c r="O52" t="s">
        <v>678</v>
      </c>
      <c r="P52" t="s">
        <v>672</v>
      </c>
      <c r="Q52" t="s">
        <v>672</v>
      </c>
      <c r="R52" t="s">
        <v>672</v>
      </c>
      <c r="S52">
        <v>757315050</v>
      </c>
      <c r="T52">
        <v>54</v>
      </c>
      <c r="U52" t="s">
        <v>673</v>
      </c>
      <c r="V52" t="s">
        <v>672</v>
      </c>
      <c r="W52" t="s">
        <v>672</v>
      </c>
      <c r="X52" t="s">
        <v>717</v>
      </c>
      <c r="Y52" t="s">
        <v>672</v>
      </c>
      <c r="Z52" t="s">
        <v>2144</v>
      </c>
      <c r="AA52">
        <v>1</v>
      </c>
      <c r="AB52" t="s">
        <v>672</v>
      </c>
      <c r="AC52" t="s">
        <v>672</v>
      </c>
      <c r="AD52" t="s">
        <v>672</v>
      </c>
      <c r="AE52" t="s">
        <v>672</v>
      </c>
      <c r="AF52" t="s">
        <v>672</v>
      </c>
      <c r="AG52" t="s">
        <v>672</v>
      </c>
      <c r="AH52" t="s">
        <v>672</v>
      </c>
      <c r="AI52" t="s">
        <v>672</v>
      </c>
      <c r="AJ52" t="s">
        <v>672</v>
      </c>
      <c r="AK52" t="s">
        <v>672</v>
      </c>
      <c r="AL52" t="s">
        <v>672</v>
      </c>
      <c r="AM52" t="s">
        <v>672</v>
      </c>
      <c r="AN52" t="s">
        <v>672</v>
      </c>
      <c r="AO52" t="s">
        <v>672</v>
      </c>
      <c r="AP52">
        <v>3</v>
      </c>
      <c r="AQ52">
        <v>1</v>
      </c>
      <c r="AR52" t="s">
        <v>672</v>
      </c>
      <c r="AS52">
        <v>1</v>
      </c>
      <c r="AT52">
        <v>1</v>
      </c>
    </row>
    <row r="53" spans="1:46">
      <c r="A53" t="s">
        <v>217</v>
      </c>
      <c r="B53">
        <v>52</v>
      </c>
      <c r="C53" t="s">
        <v>218</v>
      </c>
      <c r="D53" t="s">
        <v>672</v>
      </c>
      <c r="E53" t="s">
        <v>2145</v>
      </c>
      <c r="F53" t="s">
        <v>2127</v>
      </c>
      <c r="G53" t="s">
        <v>921</v>
      </c>
      <c r="H53" t="s">
        <v>922</v>
      </c>
      <c r="I53" t="s">
        <v>920</v>
      </c>
      <c r="J53" t="s">
        <v>704</v>
      </c>
      <c r="K53" t="s">
        <v>677</v>
      </c>
      <c r="L53" t="s">
        <v>923</v>
      </c>
      <c r="M53" t="s">
        <v>924</v>
      </c>
      <c r="N53">
        <v>300</v>
      </c>
      <c r="O53" t="s">
        <v>742</v>
      </c>
      <c r="P53" t="s">
        <v>925</v>
      </c>
      <c r="Q53" s="2">
        <v>1000000</v>
      </c>
      <c r="R53" t="s">
        <v>681</v>
      </c>
      <c r="S53">
        <v>708762020</v>
      </c>
      <c r="T53">
        <v>54</v>
      </c>
      <c r="U53" t="s">
        <v>673</v>
      </c>
      <c r="V53" t="s">
        <v>919</v>
      </c>
      <c r="W53" t="s">
        <v>681</v>
      </c>
      <c r="X53" t="s">
        <v>918</v>
      </c>
      <c r="Y53" t="s">
        <v>681</v>
      </c>
      <c r="Z53" s="1">
        <v>43479</v>
      </c>
      <c r="AA53">
        <v>1</v>
      </c>
      <c r="AB53" t="s">
        <v>672</v>
      </c>
      <c r="AC53" t="s">
        <v>672</v>
      </c>
      <c r="AG53">
        <v>0</v>
      </c>
      <c r="AL53">
        <v>0</v>
      </c>
      <c r="AM53" t="s">
        <v>672</v>
      </c>
      <c r="AN53" t="s">
        <v>672</v>
      </c>
      <c r="AO53" t="s">
        <v>672</v>
      </c>
      <c r="AP53">
        <v>0</v>
      </c>
      <c r="AQ53">
        <v>1</v>
      </c>
      <c r="AR53" t="s">
        <v>672</v>
      </c>
      <c r="AS53">
        <v>1</v>
      </c>
      <c r="AT53">
        <v>1</v>
      </c>
    </row>
    <row r="54" spans="1:46">
      <c r="A54" t="s">
        <v>356</v>
      </c>
      <c r="B54">
        <v>53</v>
      </c>
      <c r="C54" t="s">
        <v>357</v>
      </c>
      <c r="D54" t="s">
        <v>672</v>
      </c>
      <c r="E54" t="s">
        <v>357</v>
      </c>
      <c r="F54" t="s">
        <v>2122</v>
      </c>
      <c r="G54" t="s">
        <v>928</v>
      </c>
      <c r="H54" t="s">
        <v>929</v>
      </c>
      <c r="I54" t="s">
        <v>927</v>
      </c>
      <c r="J54" t="s">
        <v>676</v>
      </c>
      <c r="K54" t="s">
        <v>677</v>
      </c>
      <c r="L54" t="s">
        <v>930</v>
      </c>
      <c r="M54" t="s">
        <v>931</v>
      </c>
      <c r="N54">
        <v>850</v>
      </c>
      <c r="O54" t="s">
        <v>742</v>
      </c>
      <c r="P54" t="s">
        <v>932</v>
      </c>
      <c r="R54" t="s">
        <v>681</v>
      </c>
      <c r="S54">
        <v>565009518</v>
      </c>
      <c r="T54">
        <v>54</v>
      </c>
      <c r="U54" t="s">
        <v>673</v>
      </c>
      <c r="V54" t="s">
        <v>681</v>
      </c>
      <c r="W54" t="s">
        <v>681</v>
      </c>
      <c r="X54" t="s">
        <v>926</v>
      </c>
      <c r="Z54" s="1">
        <v>44224</v>
      </c>
      <c r="AA54">
        <v>1</v>
      </c>
      <c r="AB54" t="s">
        <v>672</v>
      </c>
      <c r="AC54" t="s">
        <v>672</v>
      </c>
      <c r="AG54">
        <v>0</v>
      </c>
      <c r="AL54">
        <v>0</v>
      </c>
      <c r="AM54" t="s">
        <v>672</v>
      </c>
      <c r="AN54" t="s">
        <v>672</v>
      </c>
      <c r="AO54" t="s">
        <v>672</v>
      </c>
      <c r="AP54">
        <v>0</v>
      </c>
      <c r="AQ54">
        <v>1</v>
      </c>
      <c r="AR54" t="s">
        <v>672</v>
      </c>
      <c r="AS54">
        <v>1</v>
      </c>
      <c r="AT54">
        <v>1</v>
      </c>
    </row>
    <row r="55" spans="1:46">
      <c r="A55" t="s">
        <v>458</v>
      </c>
      <c r="B55">
        <v>54</v>
      </c>
      <c r="C55" t="s">
        <v>933</v>
      </c>
      <c r="D55" t="s">
        <v>672</v>
      </c>
      <c r="E55" t="s">
        <v>933</v>
      </c>
      <c r="F55" t="s">
        <v>2122</v>
      </c>
      <c r="G55" t="s">
        <v>936</v>
      </c>
      <c r="H55" t="s">
        <v>937</v>
      </c>
      <c r="I55" t="s">
        <v>935</v>
      </c>
      <c r="J55" t="s">
        <v>676</v>
      </c>
      <c r="K55" t="s">
        <v>677</v>
      </c>
      <c r="L55" t="s">
        <v>938</v>
      </c>
      <c r="M55" t="s">
        <v>681</v>
      </c>
      <c r="N55" t="s">
        <v>681</v>
      </c>
      <c r="O55" t="s">
        <v>687</v>
      </c>
      <c r="P55" t="s">
        <v>681</v>
      </c>
      <c r="R55" t="s">
        <v>681</v>
      </c>
      <c r="S55">
        <v>2722430459</v>
      </c>
      <c r="T55">
        <v>54</v>
      </c>
      <c r="U55" t="s">
        <v>673</v>
      </c>
      <c r="V55" t="s">
        <v>934</v>
      </c>
      <c r="W55" t="s">
        <v>681</v>
      </c>
      <c r="X55" t="s">
        <v>788</v>
      </c>
      <c r="Z55" s="1">
        <v>44224</v>
      </c>
      <c r="AA55">
        <v>1</v>
      </c>
      <c r="AB55" t="s">
        <v>672</v>
      </c>
      <c r="AC55" t="s">
        <v>672</v>
      </c>
      <c r="AG55">
        <v>0</v>
      </c>
      <c r="AL55">
        <v>0</v>
      </c>
      <c r="AM55" t="s">
        <v>672</v>
      </c>
      <c r="AN55" t="s">
        <v>672</v>
      </c>
      <c r="AO55" t="s">
        <v>672</v>
      </c>
      <c r="AP55">
        <v>0</v>
      </c>
      <c r="AQ55">
        <v>1</v>
      </c>
      <c r="AR55" t="s">
        <v>672</v>
      </c>
      <c r="AS55">
        <v>1</v>
      </c>
      <c r="AT55">
        <v>1</v>
      </c>
    </row>
    <row r="56" spans="1:46">
      <c r="A56" t="s">
        <v>181</v>
      </c>
      <c r="B56">
        <v>55</v>
      </c>
      <c r="C56" t="s">
        <v>182</v>
      </c>
      <c r="D56" t="s">
        <v>672</v>
      </c>
      <c r="E56" t="s">
        <v>672</v>
      </c>
      <c r="F56" t="s">
        <v>672</v>
      </c>
      <c r="G56" t="s">
        <v>940</v>
      </c>
      <c r="H56" t="s">
        <v>941</v>
      </c>
      <c r="I56" t="s">
        <v>672</v>
      </c>
      <c r="J56" t="s">
        <v>704</v>
      </c>
      <c r="K56" t="s">
        <v>677</v>
      </c>
      <c r="L56" t="s">
        <v>672</v>
      </c>
      <c r="M56" t="s">
        <v>672</v>
      </c>
      <c r="N56" t="s">
        <v>672</v>
      </c>
      <c r="O56" t="s">
        <v>942</v>
      </c>
      <c r="P56" t="s">
        <v>672</v>
      </c>
      <c r="Q56" t="s">
        <v>672</v>
      </c>
      <c r="R56" t="s">
        <v>672</v>
      </c>
      <c r="S56">
        <v>759166503</v>
      </c>
      <c r="T56">
        <v>54</v>
      </c>
      <c r="U56" t="s">
        <v>673</v>
      </c>
      <c r="V56" t="s">
        <v>672</v>
      </c>
      <c r="W56" t="s">
        <v>672</v>
      </c>
      <c r="X56" t="s">
        <v>939</v>
      </c>
      <c r="Y56" t="s">
        <v>672</v>
      </c>
      <c r="Z56" s="1">
        <v>44935</v>
      </c>
      <c r="AA56">
        <v>1</v>
      </c>
      <c r="AB56" t="s">
        <v>672</v>
      </c>
      <c r="AC56" t="s">
        <v>672</v>
      </c>
      <c r="AD56" t="s">
        <v>672</v>
      </c>
      <c r="AE56" t="s">
        <v>672</v>
      </c>
      <c r="AF56" t="s">
        <v>672</v>
      </c>
      <c r="AG56" t="s">
        <v>672</v>
      </c>
      <c r="AH56" t="s">
        <v>672</v>
      </c>
      <c r="AI56" t="s">
        <v>672</v>
      </c>
      <c r="AJ56" t="s">
        <v>672</v>
      </c>
      <c r="AK56" t="s">
        <v>672</v>
      </c>
      <c r="AL56" t="s">
        <v>672</v>
      </c>
      <c r="AM56" t="s">
        <v>672</v>
      </c>
      <c r="AN56" t="s">
        <v>672</v>
      </c>
      <c r="AO56" t="s">
        <v>672</v>
      </c>
      <c r="AP56">
        <v>3</v>
      </c>
      <c r="AQ56">
        <v>1</v>
      </c>
      <c r="AR56" t="s">
        <v>672</v>
      </c>
      <c r="AS56">
        <v>1</v>
      </c>
      <c r="AT56">
        <v>1</v>
      </c>
    </row>
    <row r="57" spans="1:46">
      <c r="A57" t="s">
        <v>88</v>
      </c>
      <c r="B57">
        <v>56</v>
      </c>
      <c r="C57" t="s">
        <v>89</v>
      </c>
      <c r="D57" t="s">
        <v>672</v>
      </c>
      <c r="E57" t="s">
        <v>672</v>
      </c>
      <c r="F57" t="s">
        <v>672</v>
      </c>
      <c r="G57" t="s">
        <v>943</v>
      </c>
      <c r="H57" t="s">
        <v>944</v>
      </c>
      <c r="I57" t="s">
        <v>672</v>
      </c>
      <c r="J57" t="s">
        <v>704</v>
      </c>
      <c r="K57" t="s">
        <v>677</v>
      </c>
      <c r="L57" t="s">
        <v>672</v>
      </c>
      <c r="M57" t="s">
        <v>672</v>
      </c>
      <c r="N57" t="s">
        <v>672</v>
      </c>
      <c r="O57" t="s">
        <v>942</v>
      </c>
      <c r="P57" t="s">
        <v>672</v>
      </c>
      <c r="Q57" t="s">
        <v>672</v>
      </c>
      <c r="R57" t="s">
        <v>672</v>
      </c>
      <c r="S57">
        <v>584483480</v>
      </c>
      <c r="T57">
        <v>54</v>
      </c>
      <c r="U57" t="s">
        <v>673</v>
      </c>
      <c r="V57" t="s">
        <v>672</v>
      </c>
      <c r="W57" t="s">
        <v>672</v>
      </c>
      <c r="X57" t="s">
        <v>939</v>
      </c>
      <c r="Y57" t="s">
        <v>672</v>
      </c>
      <c r="Z57" s="1">
        <v>44935</v>
      </c>
      <c r="AA57">
        <v>1</v>
      </c>
      <c r="AB57" t="s">
        <v>672</v>
      </c>
      <c r="AC57" t="s">
        <v>672</v>
      </c>
      <c r="AD57" t="s">
        <v>672</v>
      </c>
      <c r="AE57" t="s">
        <v>672</v>
      </c>
      <c r="AF57" t="s">
        <v>672</v>
      </c>
      <c r="AG57" t="s">
        <v>672</v>
      </c>
      <c r="AH57" t="s">
        <v>672</v>
      </c>
      <c r="AI57" t="s">
        <v>672</v>
      </c>
      <c r="AJ57" t="s">
        <v>672</v>
      </c>
      <c r="AK57" t="s">
        <v>672</v>
      </c>
      <c r="AL57" t="s">
        <v>672</v>
      </c>
      <c r="AM57" t="s">
        <v>672</v>
      </c>
      <c r="AN57" t="s">
        <v>672</v>
      </c>
      <c r="AO57" t="s">
        <v>672</v>
      </c>
      <c r="AP57">
        <v>3</v>
      </c>
      <c r="AQ57">
        <v>1</v>
      </c>
      <c r="AR57" t="s">
        <v>672</v>
      </c>
      <c r="AS57">
        <v>1</v>
      </c>
      <c r="AT57">
        <v>1</v>
      </c>
    </row>
    <row r="58" spans="1:46">
      <c r="A58" t="s">
        <v>947</v>
      </c>
      <c r="B58">
        <v>57</v>
      </c>
      <c r="C58" t="s">
        <v>945</v>
      </c>
      <c r="D58" t="s">
        <v>672</v>
      </c>
      <c r="E58" t="s">
        <v>672</v>
      </c>
      <c r="F58" t="s">
        <v>672</v>
      </c>
      <c r="G58" t="s">
        <v>948</v>
      </c>
      <c r="H58" t="s">
        <v>949</v>
      </c>
      <c r="I58" t="s">
        <v>672</v>
      </c>
      <c r="J58" t="s">
        <v>704</v>
      </c>
      <c r="K58" t="s">
        <v>677</v>
      </c>
      <c r="L58" t="s">
        <v>672</v>
      </c>
      <c r="M58" t="s">
        <v>672</v>
      </c>
      <c r="N58" t="s">
        <v>672</v>
      </c>
      <c r="O58" t="s">
        <v>942</v>
      </c>
      <c r="P58" t="s">
        <v>672</v>
      </c>
      <c r="Q58" t="s">
        <v>672</v>
      </c>
      <c r="R58" t="s">
        <v>672</v>
      </c>
      <c r="S58">
        <v>777478849</v>
      </c>
      <c r="T58">
        <v>54</v>
      </c>
      <c r="U58" t="s">
        <v>673</v>
      </c>
      <c r="V58" t="s">
        <v>672</v>
      </c>
      <c r="W58" t="s">
        <v>672</v>
      </c>
      <c r="X58" t="s">
        <v>946</v>
      </c>
      <c r="Y58" t="s">
        <v>672</v>
      </c>
      <c r="Z58" s="1">
        <v>44939</v>
      </c>
      <c r="AA58">
        <v>1</v>
      </c>
      <c r="AB58" t="s">
        <v>672</v>
      </c>
      <c r="AC58" t="s">
        <v>672</v>
      </c>
      <c r="AD58" t="s">
        <v>672</v>
      </c>
      <c r="AE58" t="s">
        <v>672</v>
      </c>
      <c r="AF58" t="s">
        <v>672</v>
      </c>
      <c r="AG58" t="s">
        <v>672</v>
      </c>
      <c r="AH58" t="s">
        <v>672</v>
      </c>
      <c r="AI58" t="s">
        <v>672</v>
      </c>
      <c r="AJ58" t="s">
        <v>672</v>
      </c>
      <c r="AK58" t="s">
        <v>672</v>
      </c>
      <c r="AL58" t="s">
        <v>672</v>
      </c>
      <c r="AM58" t="s">
        <v>672</v>
      </c>
      <c r="AN58" t="s">
        <v>672</v>
      </c>
      <c r="AO58" t="s">
        <v>672</v>
      </c>
      <c r="AP58">
        <v>3</v>
      </c>
      <c r="AQ58">
        <v>1</v>
      </c>
      <c r="AR58" t="s">
        <v>672</v>
      </c>
      <c r="AS58">
        <v>1</v>
      </c>
      <c r="AT58">
        <v>1</v>
      </c>
    </row>
    <row r="59" spans="1:46">
      <c r="A59" t="s">
        <v>372</v>
      </c>
      <c r="B59">
        <v>58</v>
      </c>
      <c r="C59" t="s">
        <v>373</v>
      </c>
      <c r="D59" t="s">
        <v>672</v>
      </c>
      <c r="E59" t="s">
        <v>672</v>
      </c>
      <c r="F59" t="s">
        <v>672</v>
      </c>
      <c r="G59" t="s">
        <v>950</v>
      </c>
      <c r="H59" t="s">
        <v>951</v>
      </c>
      <c r="I59" t="s">
        <v>672</v>
      </c>
      <c r="J59" t="s">
        <v>704</v>
      </c>
      <c r="K59" t="s">
        <v>677</v>
      </c>
      <c r="L59" t="s">
        <v>672</v>
      </c>
      <c r="M59" t="s">
        <v>672</v>
      </c>
      <c r="N59" t="s">
        <v>672</v>
      </c>
      <c r="O59" t="s">
        <v>942</v>
      </c>
      <c r="P59" t="s">
        <v>672</v>
      </c>
      <c r="Q59" t="s">
        <v>672</v>
      </c>
      <c r="R59" t="s">
        <v>672</v>
      </c>
      <c r="S59">
        <v>759484148</v>
      </c>
      <c r="T59">
        <v>54</v>
      </c>
      <c r="U59" t="s">
        <v>673</v>
      </c>
      <c r="V59" t="s">
        <v>672</v>
      </c>
      <c r="W59" t="s">
        <v>672</v>
      </c>
      <c r="X59" t="s">
        <v>939</v>
      </c>
      <c r="Y59" t="s">
        <v>672</v>
      </c>
      <c r="Z59" s="1">
        <v>44939</v>
      </c>
      <c r="AA59">
        <v>1</v>
      </c>
      <c r="AB59" t="s">
        <v>672</v>
      </c>
      <c r="AC59" t="s">
        <v>672</v>
      </c>
      <c r="AD59" t="s">
        <v>672</v>
      </c>
      <c r="AE59" t="s">
        <v>672</v>
      </c>
      <c r="AF59" t="s">
        <v>672</v>
      </c>
      <c r="AG59" t="s">
        <v>672</v>
      </c>
      <c r="AH59" t="s">
        <v>672</v>
      </c>
      <c r="AI59" t="s">
        <v>672</v>
      </c>
      <c r="AJ59" t="s">
        <v>672</v>
      </c>
      <c r="AK59" t="s">
        <v>672</v>
      </c>
      <c r="AL59" t="s">
        <v>672</v>
      </c>
      <c r="AM59" t="s">
        <v>672</v>
      </c>
      <c r="AN59" t="s">
        <v>672</v>
      </c>
      <c r="AO59" t="s">
        <v>672</v>
      </c>
      <c r="AP59">
        <v>3</v>
      </c>
      <c r="AQ59">
        <v>1</v>
      </c>
      <c r="AR59" t="s">
        <v>672</v>
      </c>
      <c r="AS59">
        <v>1</v>
      </c>
      <c r="AT59">
        <v>1</v>
      </c>
    </row>
    <row r="60" spans="1:46">
      <c r="A60" t="s">
        <v>624</v>
      </c>
      <c r="B60">
        <v>59</v>
      </c>
      <c r="C60" t="s">
        <v>625</v>
      </c>
      <c r="D60" t="s">
        <v>672</v>
      </c>
      <c r="E60" t="s">
        <v>672</v>
      </c>
      <c r="F60" t="s">
        <v>672</v>
      </c>
      <c r="G60" t="s">
        <v>953</v>
      </c>
      <c r="H60" t="s">
        <v>954</v>
      </c>
      <c r="I60" t="s">
        <v>672</v>
      </c>
      <c r="J60" t="s">
        <v>704</v>
      </c>
      <c r="K60" t="s">
        <v>677</v>
      </c>
      <c r="L60" t="s">
        <v>672</v>
      </c>
      <c r="M60" t="s">
        <v>672</v>
      </c>
      <c r="N60" t="s">
        <v>672</v>
      </c>
      <c r="O60" t="s">
        <v>942</v>
      </c>
      <c r="P60" t="s">
        <v>672</v>
      </c>
      <c r="Q60" t="s">
        <v>672</v>
      </c>
      <c r="R60" t="s">
        <v>672</v>
      </c>
      <c r="S60">
        <v>707719065</v>
      </c>
      <c r="T60">
        <v>54</v>
      </c>
      <c r="U60" t="s">
        <v>673</v>
      </c>
      <c r="V60" t="s">
        <v>672</v>
      </c>
      <c r="W60" t="s">
        <v>672</v>
      </c>
      <c r="X60" t="s">
        <v>952</v>
      </c>
      <c r="Y60" t="s">
        <v>672</v>
      </c>
      <c r="Z60" s="1">
        <v>44942</v>
      </c>
      <c r="AA60">
        <v>1</v>
      </c>
      <c r="AB60" t="s">
        <v>672</v>
      </c>
      <c r="AC60" t="s">
        <v>672</v>
      </c>
      <c r="AD60" t="s">
        <v>672</v>
      </c>
      <c r="AE60" t="s">
        <v>672</v>
      </c>
      <c r="AF60" t="s">
        <v>672</v>
      </c>
      <c r="AG60" t="s">
        <v>672</v>
      </c>
      <c r="AH60" t="s">
        <v>672</v>
      </c>
      <c r="AI60" t="s">
        <v>672</v>
      </c>
      <c r="AJ60" t="s">
        <v>672</v>
      </c>
      <c r="AK60" t="s">
        <v>672</v>
      </c>
      <c r="AL60" t="s">
        <v>672</v>
      </c>
      <c r="AM60" t="s">
        <v>672</v>
      </c>
      <c r="AN60" t="s">
        <v>672</v>
      </c>
      <c r="AO60" t="s">
        <v>672</v>
      </c>
      <c r="AP60">
        <v>3</v>
      </c>
      <c r="AQ60">
        <v>1</v>
      </c>
      <c r="AR60" t="s">
        <v>672</v>
      </c>
      <c r="AS60">
        <v>1</v>
      </c>
      <c r="AT60">
        <v>1</v>
      </c>
    </row>
    <row r="61" spans="1:46">
      <c r="A61" t="s">
        <v>630</v>
      </c>
      <c r="B61">
        <v>60</v>
      </c>
      <c r="C61" t="s">
        <v>955</v>
      </c>
      <c r="D61" t="s">
        <v>672</v>
      </c>
      <c r="E61" t="s">
        <v>672</v>
      </c>
      <c r="F61" t="s">
        <v>672</v>
      </c>
      <c r="G61" t="s">
        <v>956</v>
      </c>
      <c r="H61" t="s">
        <v>957</v>
      </c>
      <c r="I61" t="s">
        <v>672</v>
      </c>
      <c r="J61" t="s">
        <v>704</v>
      </c>
      <c r="K61" t="s">
        <v>677</v>
      </c>
      <c r="L61" t="s">
        <v>672</v>
      </c>
      <c r="M61" t="s">
        <v>672</v>
      </c>
      <c r="N61" t="s">
        <v>672</v>
      </c>
      <c r="O61" t="s">
        <v>942</v>
      </c>
      <c r="P61" t="s">
        <v>672</v>
      </c>
      <c r="Q61" t="s">
        <v>672</v>
      </c>
      <c r="R61" t="s">
        <v>672</v>
      </c>
      <c r="S61">
        <v>789901646</v>
      </c>
      <c r="T61">
        <v>54</v>
      </c>
      <c r="U61" t="s">
        <v>673</v>
      </c>
      <c r="V61" t="s">
        <v>672</v>
      </c>
      <c r="W61" t="s">
        <v>672</v>
      </c>
      <c r="X61" t="s">
        <v>939</v>
      </c>
      <c r="Y61" t="s">
        <v>672</v>
      </c>
      <c r="Z61" s="1">
        <v>44952</v>
      </c>
      <c r="AA61">
        <v>1</v>
      </c>
      <c r="AB61" t="s">
        <v>672</v>
      </c>
      <c r="AC61" t="s">
        <v>672</v>
      </c>
      <c r="AD61" t="s">
        <v>672</v>
      </c>
      <c r="AE61" t="s">
        <v>672</v>
      </c>
      <c r="AF61" t="s">
        <v>672</v>
      </c>
      <c r="AG61" t="s">
        <v>672</v>
      </c>
      <c r="AH61" t="s">
        <v>672</v>
      </c>
      <c r="AI61" t="s">
        <v>672</v>
      </c>
      <c r="AJ61" t="s">
        <v>672</v>
      </c>
      <c r="AK61" t="s">
        <v>672</v>
      </c>
      <c r="AL61" t="s">
        <v>672</v>
      </c>
      <c r="AM61" t="s">
        <v>672</v>
      </c>
      <c r="AN61" t="s">
        <v>672</v>
      </c>
      <c r="AO61" t="s">
        <v>672</v>
      </c>
      <c r="AP61">
        <v>3</v>
      </c>
      <c r="AQ61">
        <v>1</v>
      </c>
      <c r="AR61" t="s">
        <v>672</v>
      </c>
      <c r="AS61">
        <v>1</v>
      </c>
      <c r="AT61">
        <v>1</v>
      </c>
    </row>
    <row r="62" spans="1:46">
      <c r="A62" t="s">
        <v>590</v>
      </c>
      <c r="B62">
        <v>61</v>
      </c>
      <c r="C62" t="s">
        <v>958</v>
      </c>
      <c r="D62">
        <v>76</v>
      </c>
      <c r="E62" t="s">
        <v>2146</v>
      </c>
      <c r="F62" t="s">
        <v>882</v>
      </c>
      <c r="G62" t="s">
        <v>960</v>
      </c>
      <c r="H62" t="s">
        <v>961</v>
      </c>
      <c r="J62" t="s">
        <v>704</v>
      </c>
      <c r="K62" t="s">
        <v>677</v>
      </c>
      <c r="S62">
        <v>707719624</v>
      </c>
      <c r="T62">
        <v>54</v>
      </c>
      <c r="U62" t="s">
        <v>673</v>
      </c>
      <c r="X62" t="s">
        <v>959</v>
      </c>
      <c r="Z62" s="1">
        <v>44952</v>
      </c>
      <c r="AA62">
        <v>1</v>
      </c>
      <c r="AB62" t="s">
        <v>672</v>
      </c>
      <c r="AG62">
        <v>0</v>
      </c>
      <c r="AL62">
        <v>0</v>
      </c>
      <c r="AM62" t="s">
        <v>672</v>
      </c>
      <c r="AN62" t="s">
        <v>672</v>
      </c>
      <c r="AO62" t="s">
        <v>672</v>
      </c>
      <c r="AP62">
        <v>0</v>
      </c>
      <c r="AQ62">
        <v>1</v>
      </c>
      <c r="AR62" t="s">
        <v>672</v>
      </c>
      <c r="AS62">
        <v>1</v>
      </c>
      <c r="AT62">
        <v>1</v>
      </c>
    </row>
    <row r="63" spans="1:46">
      <c r="A63" t="s">
        <v>592</v>
      </c>
      <c r="B63">
        <v>62</v>
      </c>
      <c r="C63" t="s">
        <v>593</v>
      </c>
      <c r="D63" t="s">
        <v>672</v>
      </c>
      <c r="E63" t="s">
        <v>672</v>
      </c>
      <c r="F63" t="s">
        <v>672</v>
      </c>
      <c r="G63" t="s">
        <v>962</v>
      </c>
      <c r="H63" t="s">
        <v>963</v>
      </c>
      <c r="I63" t="s">
        <v>672</v>
      </c>
      <c r="J63" t="s">
        <v>704</v>
      </c>
      <c r="K63" t="s">
        <v>677</v>
      </c>
      <c r="L63" t="s">
        <v>672</v>
      </c>
      <c r="M63" t="s">
        <v>672</v>
      </c>
      <c r="N63" t="s">
        <v>672</v>
      </c>
      <c r="O63" t="s">
        <v>942</v>
      </c>
      <c r="P63" t="s">
        <v>672</v>
      </c>
      <c r="Q63" t="s">
        <v>672</v>
      </c>
      <c r="R63" t="s">
        <v>672</v>
      </c>
      <c r="S63">
        <v>708410032</v>
      </c>
      <c r="T63">
        <v>54</v>
      </c>
      <c r="U63" t="s">
        <v>673</v>
      </c>
      <c r="V63" t="s">
        <v>672</v>
      </c>
      <c r="W63" t="s">
        <v>672</v>
      </c>
      <c r="X63" t="s">
        <v>939</v>
      </c>
      <c r="Y63" t="s">
        <v>672</v>
      </c>
      <c r="Z63" s="1">
        <v>44953</v>
      </c>
      <c r="AA63">
        <v>1</v>
      </c>
      <c r="AB63" t="s">
        <v>672</v>
      </c>
      <c r="AC63" t="s">
        <v>672</v>
      </c>
      <c r="AD63" t="s">
        <v>672</v>
      </c>
      <c r="AE63" t="s">
        <v>672</v>
      </c>
      <c r="AF63" t="s">
        <v>672</v>
      </c>
      <c r="AG63" t="s">
        <v>672</v>
      </c>
      <c r="AH63" t="s">
        <v>672</v>
      </c>
      <c r="AI63" t="s">
        <v>672</v>
      </c>
      <c r="AJ63" t="s">
        <v>672</v>
      </c>
      <c r="AK63" t="s">
        <v>672</v>
      </c>
      <c r="AL63" t="s">
        <v>672</v>
      </c>
      <c r="AM63" t="s">
        <v>672</v>
      </c>
      <c r="AN63" t="s">
        <v>672</v>
      </c>
      <c r="AO63" t="s">
        <v>672</v>
      </c>
      <c r="AP63">
        <v>3</v>
      </c>
      <c r="AQ63">
        <v>1</v>
      </c>
      <c r="AR63" t="s">
        <v>672</v>
      </c>
      <c r="AS63">
        <v>1</v>
      </c>
      <c r="AT63">
        <v>1</v>
      </c>
    </row>
    <row r="64" spans="1:46">
      <c r="A64" t="s">
        <v>558</v>
      </c>
      <c r="B64">
        <v>63</v>
      </c>
      <c r="C64" t="s">
        <v>964</v>
      </c>
      <c r="D64" t="s">
        <v>672</v>
      </c>
      <c r="E64" t="s">
        <v>672</v>
      </c>
      <c r="F64" t="s">
        <v>672</v>
      </c>
      <c r="G64" t="s">
        <v>966</v>
      </c>
      <c r="H64" t="s">
        <v>967</v>
      </c>
      <c r="I64" t="s">
        <v>672</v>
      </c>
      <c r="J64" t="s">
        <v>704</v>
      </c>
      <c r="K64" t="s">
        <v>677</v>
      </c>
      <c r="L64" t="s">
        <v>672</v>
      </c>
      <c r="M64" t="s">
        <v>672</v>
      </c>
      <c r="N64" t="s">
        <v>672</v>
      </c>
      <c r="O64" t="s">
        <v>750</v>
      </c>
      <c r="P64" t="s">
        <v>672</v>
      </c>
      <c r="Q64" t="s">
        <v>672</v>
      </c>
      <c r="R64" t="s">
        <v>672</v>
      </c>
      <c r="S64">
        <v>709340500</v>
      </c>
      <c r="T64">
        <v>54</v>
      </c>
      <c r="U64" t="s">
        <v>673</v>
      </c>
      <c r="V64" t="s">
        <v>672</v>
      </c>
      <c r="W64" t="s">
        <v>672</v>
      </c>
      <c r="X64" t="s">
        <v>965</v>
      </c>
      <c r="Y64" t="s">
        <v>672</v>
      </c>
      <c r="Z64" s="1">
        <v>44953</v>
      </c>
      <c r="AA64">
        <v>1</v>
      </c>
      <c r="AB64" t="s">
        <v>672</v>
      </c>
      <c r="AC64" t="s">
        <v>672</v>
      </c>
      <c r="AD64" t="s">
        <v>672</v>
      </c>
      <c r="AE64" t="s">
        <v>672</v>
      </c>
      <c r="AF64" t="s">
        <v>672</v>
      </c>
      <c r="AG64" t="s">
        <v>672</v>
      </c>
      <c r="AH64" t="s">
        <v>672</v>
      </c>
      <c r="AI64" t="s">
        <v>672</v>
      </c>
      <c r="AJ64" t="s">
        <v>672</v>
      </c>
      <c r="AK64" t="s">
        <v>672</v>
      </c>
      <c r="AL64" t="s">
        <v>672</v>
      </c>
      <c r="AM64" t="s">
        <v>672</v>
      </c>
      <c r="AN64" t="s">
        <v>672</v>
      </c>
      <c r="AO64" t="s">
        <v>672</v>
      </c>
      <c r="AP64">
        <v>3</v>
      </c>
      <c r="AQ64">
        <v>1</v>
      </c>
      <c r="AR64" t="s">
        <v>672</v>
      </c>
      <c r="AS64">
        <v>1</v>
      </c>
      <c r="AT64">
        <v>1</v>
      </c>
    </row>
    <row r="65" spans="1:46">
      <c r="A65" t="s">
        <v>454</v>
      </c>
      <c r="B65">
        <v>64</v>
      </c>
      <c r="C65" t="s">
        <v>455</v>
      </c>
      <c r="D65" t="s">
        <v>672</v>
      </c>
      <c r="E65" t="s">
        <v>672</v>
      </c>
      <c r="F65" t="s">
        <v>672</v>
      </c>
      <c r="G65" t="s">
        <v>968</v>
      </c>
      <c r="H65" t="s">
        <v>969</v>
      </c>
      <c r="I65" t="s">
        <v>672</v>
      </c>
      <c r="J65" t="s">
        <v>704</v>
      </c>
      <c r="K65" t="s">
        <v>677</v>
      </c>
      <c r="L65" t="s">
        <v>672</v>
      </c>
      <c r="M65" t="s">
        <v>672</v>
      </c>
      <c r="N65" t="s">
        <v>672</v>
      </c>
      <c r="O65" t="s">
        <v>942</v>
      </c>
      <c r="P65" t="s">
        <v>672</v>
      </c>
      <c r="Q65" t="s">
        <v>672</v>
      </c>
      <c r="R65" t="s">
        <v>672</v>
      </c>
      <c r="S65">
        <v>759484148</v>
      </c>
      <c r="T65">
        <v>54</v>
      </c>
      <c r="U65" t="s">
        <v>673</v>
      </c>
      <c r="V65" t="s">
        <v>672</v>
      </c>
      <c r="W65" t="s">
        <v>672</v>
      </c>
      <c r="X65" t="s">
        <v>939</v>
      </c>
      <c r="Y65" t="s">
        <v>672</v>
      </c>
      <c r="Z65" s="1">
        <v>44953</v>
      </c>
      <c r="AA65">
        <v>1</v>
      </c>
      <c r="AB65" t="s">
        <v>672</v>
      </c>
      <c r="AC65" t="s">
        <v>672</v>
      </c>
      <c r="AD65" t="s">
        <v>672</v>
      </c>
      <c r="AE65" t="s">
        <v>672</v>
      </c>
      <c r="AF65" t="s">
        <v>672</v>
      </c>
      <c r="AG65" t="s">
        <v>672</v>
      </c>
      <c r="AH65" t="s">
        <v>672</v>
      </c>
      <c r="AI65" t="s">
        <v>672</v>
      </c>
      <c r="AJ65" t="s">
        <v>672</v>
      </c>
      <c r="AK65" t="s">
        <v>672</v>
      </c>
      <c r="AL65" t="s">
        <v>672</v>
      </c>
      <c r="AM65" t="s">
        <v>672</v>
      </c>
      <c r="AN65" t="s">
        <v>672</v>
      </c>
      <c r="AO65" t="s">
        <v>672</v>
      </c>
      <c r="AP65">
        <v>3</v>
      </c>
      <c r="AQ65">
        <v>1</v>
      </c>
      <c r="AR65" t="s">
        <v>672</v>
      </c>
      <c r="AS65">
        <v>1</v>
      </c>
      <c r="AT65">
        <v>1</v>
      </c>
    </row>
    <row r="66" spans="1:46">
      <c r="A66" t="s">
        <v>291</v>
      </c>
      <c r="B66">
        <v>65</v>
      </c>
      <c r="C66" t="s">
        <v>970</v>
      </c>
      <c r="D66" t="s">
        <v>672</v>
      </c>
      <c r="E66" t="s">
        <v>672</v>
      </c>
      <c r="F66" t="s">
        <v>672</v>
      </c>
      <c r="G66" t="s">
        <v>971</v>
      </c>
      <c r="H66" t="s">
        <v>972</v>
      </c>
      <c r="I66" t="s">
        <v>672</v>
      </c>
      <c r="J66" t="s">
        <v>704</v>
      </c>
      <c r="K66" t="s">
        <v>677</v>
      </c>
      <c r="L66" t="s">
        <v>672</v>
      </c>
      <c r="M66" t="s">
        <v>672</v>
      </c>
      <c r="N66" t="s">
        <v>672</v>
      </c>
      <c r="O66" t="s">
        <v>942</v>
      </c>
      <c r="P66" t="s">
        <v>672</v>
      </c>
      <c r="Q66" t="s">
        <v>672</v>
      </c>
      <c r="R66" t="s">
        <v>672</v>
      </c>
      <c r="S66">
        <v>505095033</v>
      </c>
      <c r="T66">
        <v>54</v>
      </c>
      <c r="U66" t="s">
        <v>673</v>
      </c>
      <c r="V66" t="s">
        <v>672</v>
      </c>
      <c r="W66" t="s">
        <v>672</v>
      </c>
      <c r="X66" t="s">
        <v>939</v>
      </c>
      <c r="Y66" t="s">
        <v>672</v>
      </c>
      <c r="Z66" s="1">
        <v>44953</v>
      </c>
      <c r="AA66">
        <v>1</v>
      </c>
      <c r="AB66" t="s">
        <v>672</v>
      </c>
      <c r="AC66" t="s">
        <v>672</v>
      </c>
      <c r="AD66" t="s">
        <v>672</v>
      </c>
      <c r="AE66" t="s">
        <v>672</v>
      </c>
      <c r="AF66" t="s">
        <v>672</v>
      </c>
      <c r="AG66" t="s">
        <v>672</v>
      </c>
      <c r="AH66" t="s">
        <v>672</v>
      </c>
      <c r="AI66" t="s">
        <v>672</v>
      </c>
      <c r="AJ66" t="s">
        <v>672</v>
      </c>
      <c r="AK66" t="s">
        <v>672</v>
      </c>
      <c r="AL66" t="s">
        <v>672</v>
      </c>
      <c r="AM66" t="s">
        <v>672</v>
      </c>
      <c r="AN66" t="s">
        <v>672</v>
      </c>
      <c r="AO66" t="s">
        <v>672</v>
      </c>
      <c r="AP66">
        <v>3</v>
      </c>
      <c r="AQ66">
        <v>1</v>
      </c>
      <c r="AR66" t="s">
        <v>672</v>
      </c>
      <c r="AS66">
        <v>1</v>
      </c>
      <c r="AT66">
        <v>1</v>
      </c>
    </row>
    <row r="67" spans="1:46">
      <c r="A67" t="s">
        <v>616</v>
      </c>
      <c r="B67">
        <v>66</v>
      </c>
      <c r="C67" t="s">
        <v>973</v>
      </c>
      <c r="D67" t="s">
        <v>672</v>
      </c>
      <c r="E67" t="s">
        <v>672</v>
      </c>
      <c r="F67" t="s">
        <v>672</v>
      </c>
      <c r="G67" t="s">
        <v>975</v>
      </c>
      <c r="H67" t="s">
        <v>976</v>
      </c>
      <c r="I67" t="s">
        <v>672</v>
      </c>
      <c r="J67" t="s">
        <v>676</v>
      </c>
      <c r="K67" t="s">
        <v>677</v>
      </c>
      <c r="L67" t="s">
        <v>672</v>
      </c>
      <c r="M67" t="s">
        <v>672</v>
      </c>
      <c r="N67" t="s">
        <v>672</v>
      </c>
      <c r="O67" t="s">
        <v>750</v>
      </c>
      <c r="P67" t="s">
        <v>672</v>
      </c>
      <c r="Q67" t="s">
        <v>672</v>
      </c>
      <c r="R67" t="s">
        <v>672</v>
      </c>
      <c r="S67">
        <v>102942319</v>
      </c>
      <c r="T67">
        <v>54</v>
      </c>
      <c r="U67" t="s">
        <v>673</v>
      </c>
      <c r="V67" t="s">
        <v>672</v>
      </c>
      <c r="W67" t="s">
        <v>672</v>
      </c>
      <c r="X67" t="s">
        <v>974</v>
      </c>
      <c r="Y67" t="s">
        <v>672</v>
      </c>
      <c r="Z67" s="1">
        <v>44953</v>
      </c>
      <c r="AA67">
        <v>1</v>
      </c>
      <c r="AB67" t="s">
        <v>672</v>
      </c>
      <c r="AC67" t="s">
        <v>672</v>
      </c>
      <c r="AD67" t="s">
        <v>672</v>
      </c>
      <c r="AE67" t="s">
        <v>672</v>
      </c>
      <c r="AF67" t="s">
        <v>672</v>
      </c>
      <c r="AG67" t="s">
        <v>672</v>
      </c>
      <c r="AH67" t="s">
        <v>672</v>
      </c>
      <c r="AI67" t="s">
        <v>672</v>
      </c>
      <c r="AJ67" t="s">
        <v>672</v>
      </c>
      <c r="AK67" t="s">
        <v>672</v>
      </c>
      <c r="AL67" t="s">
        <v>672</v>
      </c>
      <c r="AM67" t="s">
        <v>672</v>
      </c>
      <c r="AN67" t="s">
        <v>672</v>
      </c>
      <c r="AO67" t="s">
        <v>672</v>
      </c>
      <c r="AP67">
        <v>3</v>
      </c>
      <c r="AQ67">
        <v>1</v>
      </c>
      <c r="AR67" t="s">
        <v>672</v>
      </c>
      <c r="AS67">
        <v>1</v>
      </c>
      <c r="AT67">
        <v>1</v>
      </c>
    </row>
    <row r="68" spans="1:46">
      <c r="A68" t="s">
        <v>368</v>
      </c>
      <c r="B68">
        <v>67</v>
      </c>
      <c r="C68" t="s">
        <v>977</v>
      </c>
      <c r="D68" t="s">
        <v>672</v>
      </c>
      <c r="E68" t="s">
        <v>672</v>
      </c>
      <c r="F68" t="s">
        <v>672</v>
      </c>
      <c r="G68" t="s">
        <v>979</v>
      </c>
      <c r="H68" t="s">
        <v>980</v>
      </c>
      <c r="I68" t="s">
        <v>672</v>
      </c>
      <c r="J68" t="s">
        <v>704</v>
      </c>
      <c r="K68" t="s">
        <v>677</v>
      </c>
      <c r="L68" t="s">
        <v>672</v>
      </c>
      <c r="M68" t="s">
        <v>672</v>
      </c>
      <c r="N68" t="s">
        <v>672</v>
      </c>
      <c r="O68" t="s">
        <v>942</v>
      </c>
      <c r="P68" t="s">
        <v>672</v>
      </c>
      <c r="Q68" t="s">
        <v>672</v>
      </c>
      <c r="R68" t="s">
        <v>672</v>
      </c>
      <c r="S68">
        <v>565117105</v>
      </c>
      <c r="T68">
        <v>54</v>
      </c>
      <c r="U68" t="s">
        <v>673</v>
      </c>
      <c r="V68" t="s">
        <v>672</v>
      </c>
      <c r="W68" t="s">
        <v>672</v>
      </c>
      <c r="X68" t="s">
        <v>978</v>
      </c>
      <c r="Y68" t="s">
        <v>672</v>
      </c>
      <c r="Z68" s="1">
        <v>44953</v>
      </c>
      <c r="AA68">
        <v>1</v>
      </c>
      <c r="AB68" t="s">
        <v>672</v>
      </c>
      <c r="AC68" t="s">
        <v>672</v>
      </c>
      <c r="AD68" t="s">
        <v>672</v>
      </c>
      <c r="AE68" t="s">
        <v>672</v>
      </c>
      <c r="AF68" t="s">
        <v>672</v>
      </c>
      <c r="AG68" t="s">
        <v>672</v>
      </c>
      <c r="AH68" t="s">
        <v>672</v>
      </c>
      <c r="AI68" t="s">
        <v>672</v>
      </c>
      <c r="AJ68" t="s">
        <v>672</v>
      </c>
      <c r="AK68" t="s">
        <v>672</v>
      </c>
      <c r="AL68" t="s">
        <v>672</v>
      </c>
      <c r="AM68" t="s">
        <v>672</v>
      </c>
      <c r="AN68" t="s">
        <v>672</v>
      </c>
      <c r="AO68" t="s">
        <v>672</v>
      </c>
      <c r="AP68">
        <v>3</v>
      </c>
      <c r="AQ68">
        <v>1</v>
      </c>
      <c r="AR68" t="s">
        <v>672</v>
      </c>
      <c r="AS68">
        <v>1</v>
      </c>
      <c r="AT68">
        <v>1</v>
      </c>
    </row>
    <row r="69" spans="1:46">
      <c r="A69" t="s">
        <v>412</v>
      </c>
      <c r="B69">
        <v>68</v>
      </c>
      <c r="C69" t="s">
        <v>981</v>
      </c>
      <c r="D69" t="s">
        <v>672</v>
      </c>
      <c r="E69" t="s">
        <v>672</v>
      </c>
      <c r="F69" t="s">
        <v>672</v>
      </c>
      <c r="G69" t="s">
        <v>983</v>
      </c>
      <c r="H69" t="s">
        <v>984</v>
      </c>
      <c r="I69" t="s">
        <v>672</v>
      </c>
      <c r="J69" t="s">
        <v>704</v>
      </c>
      <c r="K69" t="s">
        <v>677</v>
      </c>
      <c r="L69" t="s">
        <v>672</v>
      </c>
      <c r="M69" t="s">
        <v>672</v>
      </c>
      <c r="N69" t="s">
        <v>672</v>
      </c>
      <c r="O69" t="s">
        <v>942</v>
      </c>
      <c r="P69" t="s">
        <v>672</v>
      </c>
      <c r="Q69" t="s">
        <v>672</v>
      </c>
      <c r="R69" t="s">
        <v>672</v>
      </c>
      <c r="S69">
        <v>153207528</v>
      </c>
      <c r="T69">
        <v>54</v>
      </c>
      <c r="U69" t="s">
        <v>673</v>
      </c>
      <c r="V69" t="s">
        <v>672</v>
      </c>
      <c r="W69" t="s">
        <v>672</v>
      </c>
      <c r="X69" t="s">
        <v>982</v>
      </c>
      <c r="Y69" t="s">
        <v>672</v>
      </c>
      <c r="Z69" s="1">
        <v>44953</v>
      </c>
      <c r="AA69">
        <v>1</v>
      </c>
      <c r="AB69" t="s">
        <v>672</v>
      </c>
      <c r="AC69" t="s">
        <v>672</v>
      </c>
      <c r="AD69" t="s">
        <v>672</v>
      </c>
      <c r="AE69" t="s">
        <v>672</v>
      </c>
      <c r="AF69" t="s">
        <v>672</v>
      </c>
      <c r="AG69" t="s">
        <v>672</v>
      </c>
      <c r="AH69" t="s">
        <v>672</v>
      </c>
      <c r="AI69" t="s">
        <v>672</v>
      </c>
      <c r="AJ69" t="s">
        <v>672</v>
      </c>
      <c r="AK69" t="s">
        <v>672</v>
      </c>
      <c r="AL69" t="s">
        <v>672</v>
      </c>
      <c r="AM69" t="s">
        <v>672</v>
      </c>
      <c r="AN69" t="s">
        <v>672</v>
      </c>
      <c r="AO69" t="s">
        <v>672</v>
      </c>
      <c r="AP69">
        <v>3</v>
      </c>
      <c r="AQ69">
        <v>1</v>
      </c>
      <c r="AR69" t="s">
        <v>672</v>
      </c>
      <c r="AS69">
        <v>1</v>
      </c>
      <c r="AT69">
        <v>1</v>
      </c>
    </row>
    <row r="70" spans="1:46">
      <c r="A70" t="s">
        <v>538</v>
      </c>
      <c r="B70">
        <v>69</v>
      </c>
      <c r="C70" t="s">
        <v>985</v>
      </c>
      <c r="D70" t="s">
        <v>672</v>
      </c>
      <c r="E70" t="s">
        <v>672</v>
      </c>
      <c r="F70" t="s">
        <v>672</v>
      </c>
      <c r="G70" t="s">
        <v>986</v>
      </c>
      <c r="H70" t="s">
        <v>987</v>
      </c>
      <c r="I70" t="s">
        <v>672</v>
      </c>
      <c r="J70" t="s">
        <v>704</v>
      </c>
      <c r="K70" t="s">
        <v>677</v>
      </c>
      <c r="L70" t="s">
        <v>672</v>
      </c>
      <c r="M70" t="s">
        <v>672</v>
      </c>
      <c r="N70" t="s">
        <v>672</v>
      </c>
      <c r="O70" t="s">
        <v>798</v>
      </c>
      <c r="P70" t="s">
        <v>672</v>
      </c>
      <c r="Q70" t="s">
        <v>672</v>
      </c>
      <c r="R70" t="s">
        <v>672</v>
      </c>
      <c r="S70">
        <v>708757335</v>
      </c>
      <c r="T70">
        <v>54</v>
      </c>
      <c r="U70" t="s">
        <v>673</v>
      </c>
      <c r="V70" t="s">
        <v>672</v>
      </c>
      <c r="W70" t="s">
        <v>672</v>
      </c>
      <c r="X70" t="s">
        <v>872</v>
      </c>
      <c r="Y70" t="s">
        <v>672</v>
      </c>
      <c r="Z70" s="1">
        <v>44953</v>
      </c>
      <c r="AA70">
        <v>1</v>
      </c>
      <c r="AB70" t="s">
        <v>672</v>
      </c>
      <c r="AC70" t="s">
        <v>672</v>
      </c>
      <c r="AD70" t="s">
        <v>672</v>
      </c>
      <c r="AE70" t="s">
        <v>672</v>
      </c>
      <c r="AF70" t="s">
        <v>672</v>
      </c>
      <c r="AG70" t="s">
        <v>672</v>
      </c>
      <c r="AH70" t="s">
        <v>672</v>
      </c>
      <c r="AI70" t="s">
        <v>672</v>
      </c>
      <c r="AJ70" t="s">
        <v>672</v>
      </c>
      <c r="AK70" t="s">
        <v>672</v>
      </c>
      <c r="AL70" t="s">
        <v>672</v>
      </c>
      <c r="AM70" t="s">
        <v>672</v>
      </c>
      <c r="AN70" t="s">
        <v>672</v>
      </c>
      <c r="AO70" t="s">
        <v>672</v>
      </c>
      <c r="AP70">
        <v>3</v>
      </c>
      <c r="AQ70">
        <v>1</v>
      </c>
      <c r="AR70" t="s">
        <v>672</v>
      </c>
      <c r="AS70">
        <v>1</v>
      </c>
      <c r="AT70">
        <v>1</v>
      </c>
    </row>
    <row r="71" spans="1:46">
      <c r="A71" t="s">
        <v>482</v>
      </c>
      <c r="B71">
        <v>70</v>
      </c>
      <c r="C71" t="s">
        <v>483</v>
      </c>
      <c r="D71" t="s">
        <v>672</v>
      </c>
      <c r="E71" t="s">
        <v>672</v>
      </c>
      <c r="F71" t="s">
        <v>672</v>
      </c>
      <c r="G71" t="s">
        <v>989</v>
      </c>
      <c r="H71" t="s">
        <v>990</v>
      </c>
      <c r="I71" t="s">
        <v>672</v>
      </c>
      <c r="J71" t="s">
        <v>676</v>
      </c>
      <c r="K71" t="s">
        <v>677</v>
      </c>
      <c r="L71" t="s">
        <v>672</v>
      </c>
      <c r="M71" t="s">
        <v>672</v>
      </c>
      <c r="N71" t="s">
        <v>672</v>
      </c>
      <c r="O71" t="s">
        <v>942</v>
      </c>
      <c r="P71" t="s">
        <v>672</v>
      </c>
      <c r="Q71" t="s">
        <v>672</v>
      </c>
      <c r="R71" t="s">
        <v>672</v>
      </c>
      <c r="S71">
        <v>707582582</v>
      </c>
      <c r="T71">
        <v>54</v>
      </c>
      <c r="U71" t="s">
        <v>673</v>
      </c>
      <c r="V71" t="s">
        <v>672</v>
      </c>
      <c r="W71" t="s">
        <v>672</v>
      </c>
      <c r="X71" t="s">
        <v>988</v>
      </c>
      <c r="Y71" t="s">
        <v>672</v>
      </c>
      <c r="Z71" s="1">
        <v>44957</v>
      </c>
      <c r="AA71">
        <v>1</v>
      </c>
      <c r="AB71" t="s">
        <v>672</v>
      </c>
      <c r="AC71" t="s">
        <v>672</v>
      </c>
      <c r="AD71" t="s">
        <v>672</v>
      </c>
      <c r="AE71" t="s">
        <v>672</v>
      </c>
      <c r="AF71" t="s">
        <v>672</v>
      </c>
      <c r="AG71" t="s">
        <v>672</v>
      </c>
      <c r="AH71" t="s">
        <v>672</v>
      </c>
      <c r="AI71" t="s">
        <v>672</v>
      </c>
      <c r="AJ71" t="s">
        <v>672</v>
      </c>
      <c r="AK71" t="s">
        <v>672</v>
      </c>
      <c r="AL71" t="s">
        <v>672</v>
      </c>
      <c r="AM71" t="s">
        <v>672</v>
      </c>
      <c r="AN71" t="s">
        <v>672</v>
      </c>
      <c r="AO71" t="s">
        <v>672</v>
      </c>
      <c r="AP71">
        <v>3</v>
      </c>
      <c r="AQ71">
        <v>1</v>
      </c>
      <c r="AR71" t="s">
        <v>672</v>
      </c>
      <c r="AS71">
        <v>1</v>
      </c>
      <c r="AT71">
        <v>1</v>
      </c>
    </row>
    <row r="72" spans="1:46">
      <c r="A72" t="s">
        <v>221</v>
      </c>
      <c r="B72">
        <v>71</v>
      </c>
      <c r="C72" t="s">
        <v>222</v>
      </c>
      <c r="D72" t="s">
        <v>672</v>
      </c>
      <c r="E72" t="s">
        <v>672</v>
      </c>
      <c r="F72" t="s">
        <v>672</v>
      </c>
      <c r="G72" t="s">
        <v>992</v>
      </c>
      <c r="H72" t="s">
        <v>993</v>
      </c>
      <c r="I72" t="s">
        <v>672</v>
      </c>
      <c r="J72" t="s">
        <v>704</v>
      </c>
      <c r="K72" t="s">
        <v>677</v>
      </c>
      <c r="L72" t="s">
        <v>672</v>
      </c>
      <c r="M72" t="s">
        <v>672</v>
      </c>
      <c r="N72" t="s">
        <v>672</v>
      </c>
      <c r="O72" t="s">
        <v>798</v>
      </c>
      <c r="P72" t="s">
        <v>672</v>
      </c>
      <c r="Q72" t="s">
        <v>672</v>
      </c>
      <c r="R72" t="s">
        <v>672</v>
      </c>
      <c r="S72">
        <v>757404308</v>
      </c>
      <c r="T72">
        <v>54</v>
      </c>
      <c r="U72" t="s">
        <v>673</v>
      </c>
      <c r="V72" t="s">
        <v>672</v>
      </c>
      <c r="W72" t="s">
        <v>672</v>
      </c>
      <c r="X72" t="s">
        <v>991</v>
      </c>
      <c r="Y72" t="s">
        <v>672</v>
      </c>
      <c r="Z72" s="1">
        <v>44957</v>
      </c>
      <c r="AA72">
        <v>1</v>
      </c>
      <c r="AB72" t="s">
        <v>672</v>
      </c>
      <c r="AC72" t="s">
        <v>672</v>
      </c>
      <c r="AD72" t="s">
        <v>672</v>
      </c>
      <c r="AE72" t="s">
        <v>672</v>
      </c>
      <c r="AF72" t="s">
        <v>672</v>
      </c>
      <c r="AG72" t="s">
        <v>672</v>
      </c>
      <c r="AH72" t="s">
        <v>672</v>
      </c>
      <c r="AI72" t="s">
        <v>672</v>
      </c>
      <c r="AJ72" t="s">
        <v>672</v>
      </c>
      <c r="AK72" t="s">
        <v>672</v>
      </c>
      <c r="AL72" t="s">
        <v>672</v>
      </c>
      <c r="AM72" t="s">
        <v>672</v>
      </c>
      <c r="AN72" t="s">
        <v>672</v>
      </c>
      <c r="AO72" t="s">
        <v>672</v>
      </c>
      <c r="AP72">
        <v>3</v>
      </c>
      <c r="AQ72">
        <v>1</v>
      </c>
      <c r="AR72" t="s">
        <v>672</v>
      </c>
      <c r="AS72">
        <v>1</v>
      </c>
      <c r="AT72">
        <v>1</v>
      </c>
    </row>
    <row r="73" spans="1:46">
      <c r="A73" t="s">
        <v>466</v>
      </c>
      <c r="B73">
        <v>72</v>
      </c>
      <c r="C73" t="s">
        <v>467</v>
      </c>
      <c r="D73" t="s">
        <v>672</v>
      </c>
      <c r="E73" t="s">
        <v>672</v>
      </c>
      <c r="F73" t="s">
        <v>672</v>
      </c>
      <c r="G73" t="s">
        <v>995</v>
      </c>
      <c r="H73" t="s">
        <v>996</v>
      </c>
      <c r="I73" t="s">
        <v>672</v>
      </c>
      <c r="J73" t="s">
        <v>704</v>
      </c>
      <c r="K73" t="s">
        <v>677</v>
      </c>
      <c r="L73" t="s">
        <v>672</v>
      </c>
      <c r="M73" t="s">
        <v>672</v>
      </c>
      <c r="N73" t="s">
        <v>672</v>
      </c>
      <c r="O73" t="s">
        <v>942</v>
      </c>
      <c r="P73" t="s">
        <v>672</v>
      </c>
      <c r="Q73" t="s">
        <v>672</v>
      </c>
      <c r="R73" t="s">
        <v>672</v>
      </c>
      <c r="S73">
        <v>506497308</v>
      </c>
      <c r="T73">
        <v>54</v>
      </c>
      <c r="U73" t="s">
        <v>673</v>
      </c>
      <c r="V73" t="s">
        <v>672</v>
      </c>
      <c r="W73" t="s">
        <v>672</v>
      </c>
      <c r="X73" t="s">
        <v>994</v>
      </c>
      <c r="Y73" t="s">
        <v>672</v>
      </c>
      <c r="Z73" s="1">
        <v>45099</v>
      </c>
      <c r="AA73">
        <v>1</v>
      </c>
      <c r="AB73" t="s">
        <v>672</v>
      </c>
      <c r="AC73" t="s">
        <v>672</v>
      </c>
      <c r="AD73" t="s">
        <v>672</v>
      </c>
      <c r="AE73" t="s">
        <v>672</v>
      </c>
      <c r="AF73" t="s">
        <v>672</v>
      </c>
      <c r="AG73" t="s">
        <v>672</v>
      </c>
      <c r="AH73" t="s">
        <v>672</v>
      </c>
      <c r="AI73" t="s">
        <v>672</v>
      </c>
      <c r="AJ73" t="s">
        <v>672</v>
      </c>
      <c r="AK73" t="s">
        <v>672</v>
      </c>
      <c r="AL73" t="s">
        <v>672</v>
      </c>
      <c r="AM73" t="s">
        <v>672</v>
      </c>
      <c r="AN73" t="s">
        <v>672</v>
      </c>
      <c r="AO73" t="s">
        <v>672</v>
      </c>
      <c r="AP73">
        <v>3</v>
      </c>
      <c r="AQ73">
        <v>1</v>
      </c>
      <c r="AR73" t="s">
        <v>672</v>
      </c>
      <c r="AS73">
        <v>1</v>
      </c>
      <c r="AT73">
        <v>1</v>
      </c>
    </row>
    <row r="74" spans="1:46">
      <c r="A74" t="s">
        <v>416</v>
      </c>
      <c r="B74">
        <v>73</v>
      </c>
      <c r="C74" t="s">
        <v>417</v>
      </c>
      <c r="D74" t="s">
        <v>672</v>
      </c>
      <c r="E74" t="s">
        <v>672</v>
      </c>
      <c r="F74" t="s">
        <v>672</v>
      </c>
      <c r="G74" t="s">
        <v>998</v>
      </c>
      <c r="H74" t="s">
        <v>999</v>
      </c>
      <c r="I74" t="s">
        <v>672</v>
      </c>
      <c r="J74" t="s">
        <v>704</v>
      </c>
      <c r="K74" t="s">
        <v>677</v>
      </c>
      <c r="L74" t="s">
        <v>672</v>
      </c>
      <c r="M74" t="s">
        <v>672</v>
      </c>
      <c r="N74" t="s">
        <v>672</v>
      </c>
      <c r="O74" t="s">
        <v>942</v>
      </c>
      <c r="P74" t="s">
        <v>672</v>
      </c>
      <c r="Q74" t="s">
        <v>672</v>
      </c>
      <c r="R74" t="s">
        <v>672</v>
      </c>
      <c r="S74">
        <v>708529890</v>
      </c>
      <c r="T74">
        <v>54</v>
      </c>
      <c r="U74" t="s">
        <v>673</v>
      </c>
      <c r="V74" t="s">
        <v>672</v>
      </c>
      <c r="W74" t="s">
        <v>672</v>
      </c>
      <c r="X74" t="s">
        <v>997</v>
      </c>
      <c r="Y74" t="s">
        <v>672</v>
      </c>
      <c r="Z74" s="1">
        <v>44589</v>
      </c>
      <c r="AA74">
        <v>1</v>
      </c>
      <c r="AB74" t="s">
        <v>672</v>
      </c>
      <c r="AC74" t="s">
        <v>672</v>
      </c>
      <c r="AD74" t="s">
        <v>672</v>
      </c>
      <c r="AE74" t="s">
        <v>672</v>
      </c>
      <c r="AF74" t="s">
        <v>672</v>
      </c>
      <c r="AG74" t="s">
        <v>672</v>
      </c>
      <c r="AH74" t="s">
        <v>672</v>
      </c>
      <c r="AI74" t="s">
        <v>672</v>
      </c>
      <c r="AJ74" t="s">
        <v>672</v>
      </c>
      <c r="AK74" t="s">
        <v>672</v>
      </c>
      <c r="AL74" t="s">
        <v>672</v>
      </c>
      <c r="AM74" t="s">
        <v>672</v>
      </c>
      <c r="AN74" t="s">
        <v>672</v>
      </c>
      <c r="AO74" t="s">
        <v>672</v>
      </c>
      <c r="AP74">
        <v>3</v>
      </c>
      <c r="AQ74">
        <v>1</v>
      </c>
      <c r="AR74" t="s">
        <v>672</v>
      </c>
      <c r="AS74">
        <v>1</v>
      </c>
      <c r="AT74">
        <v>1</v>
      </c>
    </row>
    <row r="75" spans="1:46">
      <c r="A75" t="s">
        <v>223</v>
      </c>
      <c r="B75">
        <v>74</v>
      </c>
      <c r="C75" t="s">
        <v>224</v>
      </c>
      <c r="D75" t="s">
        <v>672</v>
      </c>
      <c r="E75" t="s">
        <v>672</v>
      </c>
      <c r="F75" t="s">
        <v>672</v>
      </c>
      <c r="G75" t="s">
        <v>1001</v>
      </c>
      <c r="H75" t="s">
        <v>1002</v>
      </c>
      <c r="I75" t="s">
        <v>672</v>
      </c>
      <c r="J75" t="s">
        <v>704</v>
      </c>
      <c r="K75" t="s">
        <v>677</v>
      </c>
      <c r="L75" t="s">
        <v>672</v>
      </c>
      <c r="M75" t="s">
        <v>672</v>
      </c>
      <c r="N75" t="s">
        <v>672</v>
      </c>
      <c r="O75" t="s">
        <v>942</v>
      </c>
      <c r="P75" t="s">
        <v>672</v>
      </c>
      <c r="Q75" t="s">
        <v>672</v>
      </c>
      <c r="R75" t="s">
        <v>672</v>
      </c>
      <c r="S75">
        <v>759484148</v>
      </c>
      <c r="T75">
        <v>54</v>
      </c>
      <c r="U75" t="s">
        <v>673</v>
      </c>
      <c r="V75" t="s">
        <v>672</v>
      </c>
      <c r="W75" t="s">
        <v>672</v>
      </c>
      <c r="X75" t="s">
        <v>1000</v>
      </c>
      <c r="Y75" t="s">
        <v>672</v>
      </c>
      <c r="Z75" s="1">
        <v>44589</v>
      </c>
      <c r="AA75">
        <v>1</v>
      </c>
      <c r="AB75" t="s">
        <v>672</v>
      </c>
      <c r="AC75" t="s">
        <v>672</v>
      </c>
      <c r="AD75" t="s">
        <v>672</v>
      </c>
      <c r="AE75" t="s">
        <v>672</v>
      </c>
      <c r="AF75" t="s">
        <v>672</v>
      </c>
      <c r="AG75" t="s">
        <v>672</v>
      </c>
      <c r="AH75" t="s">
        <v>672</v>
      </c>
      <c r="AI75" t="s">
        <v>672</v>
      </c>
      <c r="AJ75" t="s">
        <v>672</v>
      </c>
      <c r="AK75" t="s">
        <v>672</v>
      </c>
      <c r="AL75" t="s">
        <v>672</v>
      </c>
      <c r="AM75" t="s">
        <v>672</v>
      </c>
      <c r="AN75" t="s">
        <v>672</v>
      </c>
      <c r="AO75" t="s">
        <v>672</v>
      </c>
      <c r="AP75">
        <v>3</v>
      </c>
      <c r="AQ75">
        <v>1</v>
      </c>
      <c r="AR75" t="s">
        <v>672</v>
      </c>
      <c r="AS75">
        <v>1</v>
      </c>
      <c r="AT75">
        <v>1</v>
      </c>
    </row>
    <row r="76" spans="1:46">
      <c r="A76" t="s">
        <v>414</v>
      </c>
      <c r="B76">
        <v>75</v>
      </c>
      <c r="C76" t="s">
        <v>1003</v>
      </c>
      <c r="D76" t="s">
        <v>672</v>
      </c>
      <c r="E76" t="s">
        <v>672</v>
      </c>
      <c r="F76" t="s">
        <v>672</v>
      </c>
      <c r="G76" t="s">
        <v>1004</v>
      </c>
      <c r="H76" t="s">
        <v>1005</v>
      </c>
      <c r="I76" t="s">
        <v>672</v>
      </c>
      <c r="J76" t="s">
        <v>704</v>
      </c>
      <c r="K76" t="s">
        <v>677</v>
      </c>
      <c r="L76" t="s">
        <v>672</v>
      </c>
      <c r="M76" t="s">
        <v>672</v>
      </c>
      <c r="N76" t="s">
        <v>672</v>
      </c>
      <c r="O76" t="s">
        <v>942</v>
      </c>
      <c r="P76" t="s">
        <v>672</v>
      </c>
      <c r="Q76" t="s">
        <v>672</v>
      </c>
      <c r="R76" t="s">
        <v>672</v>
      </c>
      <c r="S76">
        <v>505488000</v>
      </c>
      <c r="T76">
        <v>54</v>
      </c>
      <c r="U76" t="s">
        <v>673</v>
      </c>
      <c r="V76" t="s">
        <v>672</v>
      </c>
      <c r="W76" t="s">
        <v>672</v>
      </c>
      <c r="X76" t="s">
        <v>939</v>
      </c>
      <c r="Y76" t="s">
        <v>672</v>
      </c>
      <c r="Z76" s="1">
        <v>44589</v>
      </c>
      <c r="AA76">
        <v>1</v>
      </c>
      <c r="AB76" t="s">
        <v>672</v>
      </c>
      <c r="AC76" t="s">
        <v>672</v>
      </c>
      <c r="AD76" t="s">
        <v>672</v>
      </c>
      <c r="AE76" t="s">
        <v>672</v>
      </c>
      <c r="AF76" t="s">
        <v>672</v>
      </c>
      <c r="AG76" t="s">
        <v>672</v>
      </c>
      <c r="AH76" t="s">
        <v>672</v>
      </c>
      <c r="AI76" t="s">
        <v>672</v>
      </c>
      <c r="AJ76" t="s">
        <v>672</v>
      </c>
      <c r="AK76" t="s">
        <v>672</v>
      </c>
      <c r="AL76" t="s">
        <v>672</v>
      </c>
      <c r="AM76" t="s">
        <v>672</v>
      </c>
      <c r="AN76" t="s">
        <v>672</v>
      </c>
      <c r="AO76" t="s">
        <v>672</v>
      </c>
      <c r="AP76">
        <v>3</v>
      </c>
      <c r="AQ76">
        <v>1</v>
      </c>
      <c r="AR76" t="s">
        <v>672</v>
      </c>
      <c r="AS76">
        <v>1</v>
      </c>
      <c r="AT76">
        <v>1</v>
      </c>
    </row>
    <row r="77" spans="1:46">
      <c r="A77" t="s">
        <v>289</v>
      </c>
      <c r="B77">
        <v>76</v>
      </c>
      <c r="C77" t="s">
        <v>1006</v>
      </c>
      <c r="D77" t="s">
        <v>672</v>
      </c>
      <c r="E77" t="s">
        <v>672</v>
      </c>
      <c r="F77" t="s">
        <v>672</v>
      </c>
      <c r="G77" t="s">
        <v>1008</v>
      </c>
      <c r="H77" t="s">
        <v>1009</v>
      </c>
      <c r="I77" t="s">
        <v>672</v>
      </c>
      <c r="J77" t="s">
        <v>704</v>
      </c>
      <c r="K77" t="s">
        <v>677</v>
      </c>
      <c r="L77" t="s">
        <v>672</v>
      </c>
      <c r="M77" t="s">
        <v>672</v>
      </c>
      <c r="N77" t="s">
        <v>672</v>
      </c>
      <c r="O77" t="s">
        <v>942</v>
      </c>
      <c r="P77" t="s">
        <v>672</v>
      </c>
      <c r="Q77" t="s">
        <v>672</v>
      </c>
      <c r="R77" t="s">
        <v>672</v>
      </c>
      <c r="S77">
        <v>709606012</v>
      </c>
      <c r="T77">
        <v>54</v>
      </c>
      <c r="U77" t="s">
        <v>673</v>
      </c>
      <c r="V77" t="s">
        <v>672</v>
      </c>
      <c r="W77" t="s">
        <v>672</v>
      </c>
      <c r="X77" t="s">
        <v>1007</v>
      </c>
      <c r="Y77" t="s">
        <v>672</v>
      </c>
      <c r="Z77" s="1">
        <v>44589</v>
      </c>
      <c r="AA77">
        <v>1</v>
      </c>
      <c r="AB77" t="s">
        <v>672</v>
      </c>
      <c r="AC77" t="s">
        <v>672</v>
      </c>
      <c r="AD77" t="s">
        <v>672</v>
      </c>
      <c r="AE77" t="s">
        <v>672</v>
      </c>
      <c r="AF77" t="s">
        <v>672</v>
      </c>
      <c r="AG77" t="s">
        <v>672</v>
      </c>
      <c r="AH77" t="s">
        <v>672</v>
      </c>
      <c r="AI77" t="s">
        <v>672</v>
      </c>
      <c r="AJ77" t="s">
        <v>672</v>
      </c>
      <c r="AK77" t="s">
        <v>672</v>
      </c>
      <c r="AL77" t="s">
        <v>672</v>
      </c>
      <c r="AM77" t="s">
        <v>672</v>
      </c>
      <c r="AN77" t="s">
        <v>672</v>
      </c>
      <c r="AO77" t="s">
        <v>672</v>
      </c>
      <c r="AP77">
        <v>3</v>
      </c>
      <c r="AQ77">
        <v>1</v>
      </c>
      <c r="AR77" t="s">
        <v>672</v>
      </c>
      <c r="AS77">
        <v>1</v>
      </c>
      <c r="AT77">
        <v>1</v>
      </c>
    </row>
    <row r="78" spans="1:46">
      <c r="A78" t="s">
        <v>638</v>
      </c>
      <c r="B78">
        <v>77</v>
      </c>
      <c r="C78" t="s">
        <v>639</v>
      </c>
      <c r="D78" t="s">
        <v>672</v>
      </c>
      <c r="E78" t="s">
        <v>672</v>
      </c>
      <c r="F78" t="s">
        <v>672</v>
      </c>
      <c r="G78" t="s">
        <v>1011</v>
      </c>
      <c r="H78" t="s">
        <v>1012</v>
      </c>
      <c r="I78" t="s">
        <v>672</v>
      </c>
      <c r="J78" t="s">
        <v>704</v>
      </c>
      <c r="K78" t="s">
        <v>677</v>
      </c>
      <c r="L78" t="s">
        <v>672</v>
      </c>
      <c r="M78" t="s">
        <v>672</v>
      </c>
      <c r="N78" t="s">
        <v>672</v>
      </c>
      <c r="O78" t="s">
        <v>942</v>
      </c>
      <c r="P78" t="s">
        <v>672</v>
      </c>
      <c r="Q78" t="s">
        <v>672</v>
      </c>
      <c r="R78" t="s">
        <v>672</v>
      </c>
      <c r="S78">
        <v>504869448</v>
      </c>
      <c r="T78">
        <v>54</v>
      </c>
      <c r="U78" t="s">
        <v>673</v>
      </c>
      <c r="V78" t="s">
        <v>672</v>
      </c>
      <c r="W78" t="s">
        <v>672</v>
      </c>
      <c r="X78" t="s">
        <v>1010</v>
      </c>
      <c r="Y78" t="s">
        <v>672</v>
      </c>
      <c r="Z78" s="1">
        <v>44589</v>
      </c>
      <c r="AA78">
        <v>1</v>
      </c>
      <c r="AB78" t="s">
        <v>672</v>
      </c>
      <c r="AC78" t="s">
        <v>672</v>
      </c>
      <c r="AD78" t="s">
        <v>672</v>
      </c>
      <c r="AE78" t="s">
        <v>672</v>
      </c>
      <c r="AF78" t="s">
        <v>672</v>
      </c>
      <c r="AG78" t="s">
        <v>672</v>
      </c>
      <c r="AH78" t="s">
        <v>672</v>
      </c>
      <c r="AI78" t="s">
        <v>672</v>
      </c>
      <c r="AJ78" t="s">
        <v>672</v>
      </c>
      <c r="AK78" t="s">
        <v>672</v>
      </c>
      <c r="AL78" t="s">
        <v>672</v>
      </c>
      <c r="AM78" t="s">
        <v>672</v>
      </c>
      <c r="AN78" t="s">
        <v>672</v>
      </c>
      <c r="AO78" t="s">
        <v>672</v>
      </c>
      <c r="AP78">
        <v>3</v>
      </c>
      <c r="AQ78">
        <v>1</v>
      </c>
      <c r="AR78" t="s">
        <v>672</v>
      </c>
      <c r="AS78">
        <v>1</v>
      </c>
      <c r="AT78">
        <v>1</v>
      </c>
    </row>
    <row r="79" spans="1:46">
      <c r="A79" t="s">
        <v>550</v>
      </c>
      <c r="B79">
        <v>78</v>
      </c>
      <c r="C79" t="s">
        <v>551</v>
      </c>
      <c r="D79" t="s">
        <v>672</v>
      </c>
      <c r="E79" t="s">
        <v>672</v>
      </c>
      <c r="F79" t="s">
        <v>672</v>
      </c>
      <c r="G79" t="s">
        <v>1013</v>
      </c>
      <c r="H79" t="s">
        <v>1014</v>
      </c>
      <c r="I79" t="s">
        <v>672</v>
      </c>
      <c r="J79" t="s">
        <v>704</v>
      </c>
      <c r="K79" t="s">
        <v>677</v>
      </c>
      <c r="L79" t="s">
        <v>672</v>
      </c>
      <c r="M79" t="s">
        <v>672</v>
      </c>
      <c r="N79" t="s">
        <v>672</v>
      </c>
      <c r="O79" t="s">
        <v>942</v>
      </c>
      <c r="P79" t="s">
        <v>672</v>
      </c>
      <c r="Q79" t="s">
        <v>672</v>
      </c>
      <c r="R79" t="s">
        <v>672</v>
      </c>
      <c r="S79">
        <v>505893050</v>
      </c>
      <c r="T79">
        <v>54</v>
      </c>
      <c r="U79" t="s">
        <v>673</v>
      </c>
      <c r="V79" t="s">
        <v>672</v>
      </c>
      <c r="W79" t="s">
        <v>672</v>
      </c>
      <c r="X79" t="s">
        <v>959</v>
      </c>
      <c r="Y79" t="s">
        <v>672</v>
      </c>
      <c r="Z79" s="1">
        <v>44592</v>
      </c>
      <c r="AA79">
        <v>1</v>
      </c>
      <c r="AB79" t="s">
        <v>672</v>
      </c>
      <c r="AC79" t="s">
        <v>672</v>
      </c>
      <c r="AD79" t="s">
        <v>672</v>
      </c>
      <c r="AE79" t="s">
        <v>672</v>
      </c>
      <c r="AF79" t="s">
        <v>672</v>
      </c>
      <c r="AG79" t="s">
        <v>672</v>
      </c>
      <c r="AH79" t="s">
        <v>672</v>
      </c>
      <c r="AI79" t="s">
        <v>672</v>
      </c>
      <c r="AJ79" t="s">
        <v>672</v>
      </c>
      <c r="AK79" t="s">
        <v>672</v>
      </c>
      <c r="AL79" t="s">
        <v>672</v>
      </c>
      <c r="AM79" t="s">
        <v>672</v>
      </c>
      <c r="AN79" t="s">
        <v>672</v>
      </c>
      <c r="AO79" t="s">
        <v>672</v>
      </c>
      <c r="AP79">
        <v>3</v>
      </c>
      <c r="AQ79">
        <v>1</v>
      </c>
      <c r="AR79" t="s">
        <v>672</v>
      </c>
      <c r="AS79">
        <v>1</v>
      </c>
      <c r="AT79">
        <v>1</v>
      </c>
    </row>
    <row r="80" spans="1:46">
      <c r="A80" t="s">
        <v>191</v>
      </c>
      <c r="B80">
        <v>79</v>
      </c>
      <c r="C80" t="s">
        <v>1015</v>
      </c>
      <c r="D80" t="s">
        <v>672</v>
      </c>
      <c r="E80" t="s">
        <v>672</v>
      </c>
      <c r="F80" t="s">
        <v>672</v>
      </c>
      <c r="G80" t="s">
        <v>1017</v>
      </c>
      <c r="H80" t="s">
        <v>1018</v>
      </c>
      <c r="I80" t="s">
        <v>672</v>
      </c>
      <c r="J80" t="s">
        <v>704</v>
      </c>
      <c r="K80" t="s">
        <v>677</v>
      </c>
      <c r="L80" t="s">
        <v>672</v>
      </c>
      <c r="M80" t="s">
        <v>672</v>
      </c>
      <c r="N80" t="s">
        <v>672</v>
      </c>
      <c r="O80" t="s">
        <v>942</v>
      </c>
      <c r="P80" t="s">
        <v>672</v>
      </c>
      <c r="Q80" t="s">
        <v>672</v>
      </c>
      <c r="R80" t="s">
        <v>672</v>
      </c>
      <c r="S80">
        <v>777328417</v>
      </c>
      <c r="T80">
        <v>54</v>
      </c>
      <c r="U80" t="s">
        <v>673</v>
      </c>
      <c r="V80" t="s">
        <v>672</v>
      </c>
      <c r="W80" t="s">
        <v>672</v>
      </c>
      <c r="X80" t="s">
        <v>1016</v>
      </c>
      <c r="Y80" t="s">
        <v>672</v>
      </c>
      <c r="Z80" s="1">
        <v>44760</v>
      </c>
      <c r="AA80">
        <v>1</v>
      </c>
      <c r="AB80" t="s">
        <v>672</v>
      </c>
      <c r="AC80" t="s">
        <v>672</v>
      </c>
      <c r="AD80" t="s">
        <v>672</v>
      </c>
      <c r="AE80" t="s">
        <v>672</v>
      </c>
      <c r="AF80" t="s">
        <v>672</v>
      </c>
      <c r="AG80" t="s">
        <v>672</v>
      </c>
      <c r="AH80" t="s">
        <v>672</v>
      </c>
      <c r="AI80" t="s">
        <v>672</v>
      </c>
      <c r="AJ80" t="s">
        <v>672</v>
      </c>
      <c r="AK80" t="s">
        <v>672</v>
      </c>
      <c r="AL80" t="s">
        <v>672</v>
      </c>
      <c r="AM80" t="s">
        <v>672</v>
      </c>
      <c r="AN80" t="s">
        <v>672</v>
      </c>
      <c r="AO80" t="s">
        <v>672</v>
      </c>
      <c r="AP80">
        <v>3</v>
      </c>
      <c r="AQ80">
        <v>1</v>
      </c>
      <c r="AR80" t="s">
        <v>672</v>
      </c>
      <c r="AS80">
        <v>1</v>
      </c>
      <c r="AT80">
        <v>1</v>
      </c>
    </row>
    <row r="81" spans="1:46">
      <c r="A81" t="s">
        <v>398</v>
      </c>
      <c r="B81">
        <v>80</v>
      </c>
      <c r="C81" t="s">
        <v>399</v>
      </c>
      <c r="D81" t="s">
        <v>672</v>
      </c>
      <c r="E81" t="s">
        <v>672</v>
      </c>
      <c r="F81" t="s">
        <v>672</v>
      </c>
      <c r="G81" t="s">
        <v>1019</v>
      </c>
      <c r="H81" t="s">
        <v>1020</v>
      </c>
      <c r="I81" t="s">
        <v>672</v>
      </c>
      <c r="J81" t="s">
        <v>704</v>
      </c>
      <c r="K81" t="s">
        <v>677</v>
      </c>
      <c r="L81" t="s">
        <v>672</v>
      </c>
      <c r="M81" t="s">
        <v>672</v>
      </c>
      <c r="N81" t="s">
        <v>672</v>
      </c>
      <c r="O81" t="s">
        <v>942</v>
      </c>
      <c r="P81" t="s">
        <v>672</v>
      </c>
      <c r="Q81" t="s">
        <v>672</v>
      </c>
      <c r="R81" t="s">
        <v>672</v>
      </c>
      <c r="S81">
        <v>505040051</v>
      </c>
      <c r="T81">
        <v>54</v>
      </c>
      <c r="U81" t="s">
        <v>673</v>
      </c>
      <c r="V81" t="s">
        <v>672</v>
      </c>
      <c r="W81" t="s">
        <v>672</v>
      </c>
      <c r="X81" t="s">
        <v>982</v>
      </c>
      <c r="Y81" t="s">
        <v>672</v>
      </c>
      <c r="Z81" s="1">
        <v>44588</v>
      </c>
      <c r="AA81">
        <v>1</v>
      </c>
      <c r="AB81" t="s">
        <v>672</v>
      </c>
      <c r="AC81" t="s">
        <v>672</v>
      </c>
      <c r="AD81" t="s">
        <v>672</v>
      </c>
      <c r="AE81" t="s">
        <v>672</v>
      </c>
      <c r="AF81" t="s">
        <v>672</v>
      </c>
      <c r="AG81" t="s">
        <v>672</v>
      </c>
      <c r="AH81" t="s">
        <v>672</v>
      </c>
      <c r="AI81" t="s">
        <v>672</v>
      </c>
      <c r="AJ81" t="s">
        <v>672</v>
      </c>
      <c r="AK81" t="s">
        <v>672</v>
      </c>
      <c r="AL81" t="s">
        <v>672</v>
      </c>
      <c r="AM81" t="s">
        <v>672</v>
      </c>
      <c r="AN81" t="s">
        <v>672</v>
      </c>
      <c r="AO81" t="s">
        <v>672</v>
      </c>
      <c r="AP81">
        <v>3</v>
      </c>
      <c r="AQ81">
        <v>1</v>
      </c>
      <c r="AR81" t="s">
        <v>672</v>
      </c>
      <c r="AS81">
        <v>1</v>
      </c>
      <c r="AT81">
        <v>1</v>
      </c>
    </row>
    <row r="82" spans="1:46">
      <c r="A82" t="s">
        <v>528</v>
      </c>
      <c r="B82">
        <v>81</v>
      </c>
      <c r="C82" t="s">
        <v>529</v>
      </c>
      <c r="D82" t="s">
        <v>672</v>
      </c>
      <c r="G82" t="s">
        <v>1021</v>
      </c>
      <c r="H82" t="s">
        <v>1022</v>
      </c>
      <c r="J82" t="s">
        <v>704</v>
      </c>
      <c r="K82" t="s">
        <v>677</v>
      </c>
      <c r="O82" t="s">
        <v>742</v>
      </c>
      <c r="S82">
        <v>768713339</v>
      </c>
      <c r="T82">
        <v>54</v>
      </c>
      <c r="U82" t="s">
        <v>673</v>
      </c>
      <c r="X82" t="s">
        <v>788</v>
      </c>
      <c r="Z82" s="1">
        <v>44588</v>
      </c>
      <c r="AA82">
        <v>1</v>
      </c>
      <c r="AB82" t="s">
        <v>672</v>
      </c>
      <c r="AG82">
        <v>0</v>
      </c>
      <c r="AL82">
        <v>0</v>
      </c>
      <c r="AM82" t="s">
        <v>672</v>
      </c>
      <c r="AN82" t="s">
        <v>672</v>
      </c>
      <c r="AO82" t="s">
        <v>672</v>
      </c>
      <c r="AP82">
        <v>0</v>
      </c>
      <c r="AQ82">
        <v>1</v>
      </c>
      <c r="AR82" t="s">
        <v>672</v>
      </c>
      <c r="AS82">
        <v>1</v>
      </c>
      <c r="AT82">
        <v>1</v>
      </c>
    </row>
    <row r="83" spans="1:46">
      <c r="A83" t="s">
        <v>556</v>
      </c>
      <c r="B83">
        <v>82</v>
      </c>
      <c r="C83" t="s">
        <v>1023</v>
      </c>
      <c r="D83" t="s">
        <v>672</v>
      </c>
      <c r="E83" t="s">
        <v>672</v>
      </c>
      <c r="F83" t="s">
        <v>672</v>
      </c>
      <c r="G83" t="s">
        <v>1025</v>
      </c>
      <c r="H83" t="s">
        <v>1026</v>
      </c>
      <c r="I83" t="s">
        <v>672</v>
      </c>
      <c r="J83" t="s">
        <v>704</v>
      </c>
      <c r="K83" t="s">
        <v>677</v>
      </c>
      <c r="L83" t="s">
        <v>672</v>
      </c>
      <c r="M83" t="s">
        <v>672</v>
      </c>
      <c r="N83" t="s">
        <v>672</v>
      </c>
      <c r="O83" t="s">
        <v>942</v>
      </c>
      <c r="P83" t="s">
        <v>672</v>
      </c>
      <c r="Q83" t="s">
        <v>672</v>
      </c>
      <c r="R83" t="s">
        <v>672</v>
      </c>
      <c r="S83">
        <v>777237255</v>
      </c>
      <c r="T83">
        <v>54</v>
      </c>
      <c r="U83" t="s">
        <v>673</v>
      </c>
      <c r="V83" t="s">
        <v>672</v>
      </c>
      <c r="W83" t="s">
        <v>672</v>
      </c>
      <c r="X83" t="s">
        <v>1024</v>
      </c>
      <c r="Y83" t="s">
        <v>672</v>
      </c>
      <c r="Z83" s="1">
        <v>44589</v>
      </c>
      <c r="AA83">
        <v>1</v>
      </c>
      <c r="AB83" t="s">
        <v>672</v>
      </c>
      <c r="AC83" t="s">
        <v>672</v>
      </c>
      <c r="AD83" t="s">
        <v>672</v>
      </c>
      <c r="AE83" t="s">
        <v>672</v>
      </c>
      <c r="AF83" t="s">
        <v>672</v>
      </c>
      <c r="AG83" t="s">
        <v>672</v>
      </c>
      <c r="AH83" t="s">
        <v>672</v>
      </c>
      <c r="AI83" t="s">
        <v>672</v>
      </c>
      <c r="AJ83" t="s">
        <v>672</v>
      </c>
      <c r="AK83" t="s">
        <v>672</v>
      </c>
      <c r="AL83" t="s">
        <v>672</v>
      </c>
      <c r="AM83" t="s">
        <v>672</v>
      </c>
      <c r="AN83" t="s">
        <v>672</v>
      </c>
      <c r="AO83" t="s">
        <v>672</v>
      </c>
      <c r="AP83">
        <v>3</v>
      </c>
      <c r="AQ83">
        <v>1</v>
      </c>
      <c r="AR83" t="s">
        <v>672</v>
      </c>
      <c r="AS83">
        <v>1</v>
      </c>
      <c r="AT83">
        <v>1</v>
      </c>
    </row>
    <row r="84" spans="1:46">
      <c r="A84" t="s">
        <v>271</v>
      </c>
      <c r="B84">
        <v>83</v>
      </c>
      <c r="C84" t="s">
        <v>272</v>
      </c>
      <c r="D84" t="s">
        <v>672</v>
      </c>
      <c r="E84" t="s">
        <v>672</v>
      </c>
      <c r="F84" t="s">
        <v>672</v>
      </c>
      <c r="G84" t="s">
        <v>1027</v>
      </c>
      <c r="H84" t="s">
        <v>1028</v>
      </c>
      <c r="I84" t="s">
        <v>672</v>
      </c>
      <c r="J84" t="s">
        <v>676</v>
      </c>
      <c r="K84" t="s">
        <v>677</v>
      </c>
      <c r="L84" t="s">
        <v>672</v>
      </c>
      <c r="M84" t="s">
        <v>672</v>
      </c>
      <c r="N84" t="s">
        <v>672</v>
      </c>
      <c r="O84" t="s">
        <v>942</v>
      </c>
      <c r="P84" t="s">
        <v>672</v>
      </c>
      <c r="Q84" t="s">
        <v>672</v>
      </c>
      <c r="R84" t="s">
        <v>672</v>
      </c>
      <c r="S84">
        <v>708247146</v>
      </c>
      <c r="T84">
        <v>54</v>
      </c>
      <c r="U84" t="s">
        <v>673</v>
      </c>
      <c r="V84" t="s">
        <v>672</v>
      </c>
      <c r="W84" t="s">
        <v>672</v>
      </c>
      <c r="X84" t="s">
        <v>959</v>
      </c>
      <c r="Y84" t="s">
        <v>672</v>
      </c>
      <c r="Z84" s="1">
        <v>44589</v>
      </c>
      <c r="AA84">
        <v>1</v>
      </c>
      <c r="AB84" t="s">
        <v>672</v>
      </c>
      <c r="AC84" t="s">
        <v>672</v>
      </c>
      <c r="AD84" t="s">
        <v>672</v>
      </c>
      <c r="AE84" t="s">
        <v>672</v>
      </c>
      <c r="AF84" t="s">
        <v>672</v>
      </c>
      <c r="AG84" t="s">
        <v>672</v>
      </c>
      <c r="AH84" t="s">
        <v>672</v>
      </c>
      <c r="AI84" t="s">
        <v>672</v>
      </c>
      <c r="AJ84" t="s">
        <v>672</v>
      </c>
      <c r="AK84" t="s">
        <v>672</v>
      </c>
      <c r="AL84" t="s">
        <v>672</v>
      </c>
      <c r="AM84" t="s">
        <v>672</v>
      </c>
      <c r="AN84" t="s">
        <v>672</v>
      </c>
      <c r="AO84" t="s">
        <v>672</v>
      </c>
      <c r="AP84">
        <v>3</v>
      </c>
      <c r="AQ84">
        <v>1</v>
      </c>
      <c r="AR84" t="s">
        <v>672</v>
      </c>
      <c r="AS84">
        <v>1</v>
      </c>
      <c r="AT84">
        <v>1</v>
      </c>
    </row>
    <row r="85" spans="1:46">
      <c r="A85" t="s">
        <v>348</v>
      </c>
      <c r="B85">
        <v>84</v>
      </c>
      <c r="C85" t="s">
        <v>1029</v>
      </c>
      <c r="D85" t="s">
        <v>672</v>
      </c>
      <c r="G85" t="s">
        <v>1030</v>
      </c>
      <c r="H85" t="s">
        <v>1031</v>
      </c>
      <c r="J85" t="s">
        <v>704</v>
      </c>
      <c r="K85" t="s">
        <v>677</v>
      </c>
      <c r="O85" t="s">
        <v>942</v>
      </c>
      <c r="S85">
        <v>789549220</v>
      </c>
      <c r="T85">
        <v>54</v>
      </c>
      <c r="U85" t="s">
        <v>673</v>
      </c>
      <c r="X85" t="s">
        <v>872</v>
      </c>
      <c r="Z85" s="1">
        <v>44589</v>
      </c>
      <c r="AA85">
        <v>1</v>
      </c>
      <c r="AB85" t="s">
        <v>672</v>
      </c>
      <c r="AG85">
        <v>0</v>
      </c>
      <c r="AL85">
        <v>0</v>
      </c>
      <c r="AM85" t="s">
        <v>672</v>
      </c>
      <c r="AN85" t="s">
        <v>672</v>
      </c>
      <c r="AO85" t="s">
        <v>672</v>
      </c>
      <c r="AP85">
        <v>0</v>
      </c>
      <c r="AQ85">
        <v>1</v>
      </c>
      <c r="AR85" t="s">
        <v>672</v>
      </c>
      <c r="AS85">
        <v>1</v>
      </c>
      <c r="AT85">
        <v>1</v>
      </c>
    </row>
    <row r="86" spans="1:46">
      <c r="A86" t="s">
        <v>418</v>
      </c>
      <c r="B86">
        <v>85</v>
      </c>
      <c r="C86" t="s">
        <v>419</v>
      </c>
      <c r="D86" t="s">
        <v>672</v>
      </c>
      <c r="E86" t="s">
        <v>672</v>
      </c>
      <c r="F86" t="s">
        <v>672</v>
      </c>
      <c r="G86" t="s">
        <v>1032</v>
      </c>
      <c r="H86" t="s">
        <v>1033</v>
      </c>
      <c r="I86" t="s">
        <v>672</v>
      </c>
      <c r="J86" t="s">
        <v>704</v>
      </c>
      <c r="K86" t="s">
        <v>677</v>
      </c>
      <c r="L86" t="s">
        <v>672</v>
      </c>
      <c r="M86" t="s">
        <v>672</v>
      </c>
      <c r="N86" t="s">
        <v>672</v>
      </c>
      <c r="O86" t="s">
        <v>942</v>
      </c>
      <c r="P86" t="s">
        <v>672</v>
      </c>
      <c r="Q86" t="s">
        <v>672</v>
      </c>
      <c r="R86" t="s">
        <v>672</v>
      </c>
      <c r="S86">
        <v>777328417</v>
      </c>
      <c r="T86">
        <v>54</v>
      </c>
      <c r="U86" t="s">
        <v>673</v>
      </c>
      <c r="V86" t="s">
        <v>672</v>
      </c>
      <c r="W86" t="s">
        <v>672</v>
      </c>
      <c r="X86" t="s">
        <v>939</v>
      </c>
      <c r="Y86" t="s">
        <v>672</v>
      </c>
      <c r="Z86" s="1">
        <v>44589</v>
      </c>
      <c r="AA86">
        <v>1</v>
      </c>
      <c r="AB86" t="s">
        <v>672</v>
      </c>
      <c r="AC86" t="s">
        <v>672</v>
      </c>
      <c r="AD86" t="s">
        <v>672</v>
      </c>
      <c r="AE86" t="s">
        <v>672</v>
      </c>
      <c r="AF86" t="s">
        <v>672</v>
      </c>
      <c r="AG86" t="s">
        <v>672</v>
      </c>
      <c r="AH86" t="s">
        <v>672</v>
      </c>
      <c r="AI86" t="s">
        <v>672</v>
      </c>
      <c r="AJ86" t="s">
        <v>672</v>
      </c>
      <c r="AK86" t="s">
        <v>672</v>
      </c>
      <c r="AL86" t="s">
        <v>672</v>
      </c>
      <c r="AM86" t="s">
        <v>672</v>
      </c>
      <c r="AN86" t="s">
        <v>672</v>
      </c>
      <c r="AO86" t="s">
        <v>672</v>
      </c>
      <c r="AP86">
        <v>3</v>
      </c>
      <c r="AQ86">
        <v>1</v>
      </c>
      <c r="AR86" t="s">
        <v>672</v>
      </c>
      <c r="AS86">
        <v>1</v>
      </c>
      <c r="AT86">
        <v>1</v>
      </c>
    </row>
    <row r="87" spans="1:46">
      <c r="A87" t="s">
        <v>546</v>
      </c>
      <c r="B87">
        <v>86</v>
      </c>
      <c r="C87" t="s">
        <v>547</v>
      </c>
      <c r="D87" t="s">
        <v>672</v>
      </c>
      <c r="E87" t="s">
        <v>672</v>
      </c>
      <c r="F87" t="s">
        <v>672</v>
      </c>
      <c r="G87" t="s">
        <v>1035</v>
      </c>
      <c r="H87" t="s">
        <v>1036</v>
      </c>
      <c r="I87" t="s">
        <v>672</v>
      </c>
      <c r="J87" t="s">
        <v>704</v>
      </c>
      <c r="K87" t="s">
        <v>677</v>
      </c>
      <c r="L87" t="s">
        <v>672</v>
      </c>
      <c r="M87" t="s">
        <v>672</v>
      </c>
      <c r="N87" t="s">
        <v>672</v>
      </c>
      <c r="O87" t="s">
        <v>942</v>
      </c>
      <c r="P87" t="s">
        <v>672</v>
      </c>
      <c r="Q87" t="s">
        <v>672</v>
      </c>
      <c r="R87" t="s">
        <v>672</v>
      </c>
      <c r="S87">
        <v>777973637</v>
      </c>
      <c r="T87">
        <v>54</v>
      </c>
      <c r="U87" t="s">
        <v>673</v>
      </c>
      <c r="V87" t="s">
        <v>672</v>
      </c>
      <c r="W87" t="s">
        <v>672</v>
      </c>
      <c r="X87" t="s">
        <v>1034</v>
      </c>
      <c r="Y87" t="s">
        <v>672</v>
      </c>
      <c r="Z87" s="1">
        <v>44589</v>
      </c>
      <c r="AA87">
        <v>1</v>
      </c>
      <c r="AB87" t="s">
        <v>672</v>
      </c>
      <c r="AC87" t="s">
        <v>672</v>
      </c>
      <c r="AD87" t="s">
        <v>672</v>
      </c>
      <c r="AE87" t="s">
        <v>672</v>
      </c>
      <c r="AF87" t="s">
        <v>672</v>
      </c>
      <c r="AG87" t="s">
        <v>672</v>
      </c>
      <c r="AH87" t="s">
        <v>672</v>
      </c>
      <c r="AI87" t="s">
        <v>672</v>
      </c>
      <c r="AJ87" t="s">
        <v>672</v>
      </c>
      <c r="AK87" t="s">
        <v>672</v>
      </c>
      <c r="AL87" t="s">
        <v>672</v>
      </c>
      <c r="AM87" t="s">
        <v>672</v>
      </c>
      <c r="AN87" t="s">
        <v>672</v>
      </c>
      <c r="AO87" t="s">
        <v>672</v>
      </c>
      <c r="AP87">
        <v>3</v>
      </c>
      <c r="AQ87">
        <v>1</v>
      </c>
      <c r="AR87" t="s">
        <v>672</v>
      </c>
      <c r="AS87">
        <v>1</v>
      </c>
      <c r="AT87">
        <v>1</v>
      </c>
    </row>
    <row r="88" spans="1:46">
      <c r="A88" t="s">
        <v>164</v>
      </c>
      <c r="B88">
        <v>87</v>
      </c>
      <c r="C88" t="s">
        <v>1037</v>
      </c>
      <c r="D88" t="s">
        <v>672</v>
      </c>
      <c r="E88" t="s">
        <v>672</v>
      </c>
      <c r="F88" t="s">
        <v>672</v>
      </c>
      <c r="G88" t="s">
        <v>1038</v>
      </c>
      <c r="H88" t="s">
        <v>1039</v>
      </c>
      <c r="I88" t="s">
        <v>672</v>
      </c>
      <c r="J88" t="s">
        <v>704</v>
      </c>
      <c r="K88" t="s">
        <v>677</v>
      </c>
      <c r="L88" t="s">
        <v>672</v>
      </c>
      <c r="M88" t="s">
        <v>672</v>
      </c>
      <c r="N88" t="s">
        <v>672</v>
      </c>
      <c r="O88" t="s">
        <v>942</v>
      </c>
      <c r="P88" t="s">
        <v>672</v>
      </c>
      <c r="Q88" t="s">
        <v>672</v>
      </c>
      <c r="R88" t="s">
        <v>672</v>
      </c>
      <c r="S88">
        <v>505199503</v>
      </c>
      <c r="T88">
        <v>54</v>
      </c>
      <c r="U88" t="s">
        <v>673</v>
      </c>
      <c r="V88" t="s">
        <v>672</v>
      </c>
      <c r="W88" t="s">
        <v>672</v>
      </c>
      <c r="X88" t="s">
        <v>988</v>
      </c>
      <c r="Y88" t="s">
        <v>672</v>
      </c>
      <c r="Z88" s="1">
        <v>44589</v>
      </c>
      <c r="AA88">
        <v>1</v>
      </c>
      <c r="AB88" t="s">
        <v>672</v>
      </c>
      <c r="AC88" t="s">
        <v>672</v>
      </c>
      <c r="AD88" t="s">
        <v>672</v>
      </c>
      <c r="AE88" t="s">
        <v>672</v>
      </c>
      <c r="AF88" t="s">
        <v>672</v>
      </c>
      <c r="AG88" t="s">
        <v>672</v>
      </c>
      <c r="AH88" t="s">
        <v>672</v>
      </c>
      <c r="AI88" t="s">
        <v>672</v>
      </c>
      <c r="AJ88" t="s">
        <v>672</v>
      </c>
      <c r="AK88" t="s">
        <v>672</v>
      </c>
      <c r="AL88" t="s">
        <v>672</v>
      </c>
      <c r="AM88" t="s">
        <v>672</v>
      </c>
      <c r="AN88" t="s">
        <v>672</v>
      </c>
      <c r="AO88" t="s">
        <v>672</v>
      </c>
      <c r="AP88">
        <v>3</v>
      </c>
      <c r="AQ88">
        <v>1</v>
      </c>
      <c r="AR88" t="s">
        <v>672</v>
      </c>
      <c r="AS88">
        <v>1</v>
      </c>
      <c r="AT88">
        <v>1</v>
      </c>
    </row>
    <row r="89" spans="1:46">
      <c r="A89" t="s">
        <v>402</v>
      </c>
      <c r="B89">
        <v>89</v>
      </c>
      <c r="C89" t="s">
        <v>1040</v>
      </c>
      <c r="D89">
        <v>18</v>
      </c>
      <c r="G89" t="s">
        <v>1041</v>
      </c>
      <c r="H89" t="s">
        <v>1042</v>
      </c>
      <c r="J89" t="s">
        <v>704</v>
      </c>
      <c r="K89" t="s">
        <v>677</v>
      </c>
      <c r="O89" t="s">
        <v>942</v>
      </c>
      <c r="S89">
        <v>707243416</v>
      </c>
      <c r="T89">
        <v>54</v>
      </c>
      <c r="U89" t="s">
        <v>673</v>
      </c>
      <c r="X89" t="s">
        <v>959</v>
      </c>
      <c r="Z89" s="1">
        <v>44589</v>
      </c>
      <c r="AA89">
        <v>1</v>
      </c>
      <c r="AB89" t="s">
        <v>672</v>
      </c>
      <c r="AG89">
        <v>0</v>
      </c>
      <c r="AL89">
        <v>0</v>
      </c>
      <c r="AM89" t="s">
        <v>672</v>
      </c>
      <c r="AN89" t="s">
        <v>672</v>
      </c>
      <c r="AO89" t="s">
        <v>672</v>
      </c>
      <c r="AP89">
        <v>0</v>
      </c>
      <c r="AQ89">
        <v>1</v>
      </c>
      <c r="AR89" t="s">
        <v>672</v>
      </c>
      <c r="AS89">
        <v>1</v>
      </c>
      <c r="AT89">
        <v>1</v>
      </c>
    </row>
    <row r="90" spans="1:46">
      <c r="A90" t="s">
        <v>70</v>
      </c>
      <c r="B90">
        <v>90</v>
      </c>
      <c r="C90" t="s">
        <v>71</v>
      </c>
      <c r="D90" t="s">
        <v>672</v>
      </c>
      <c r="E90" t="s">
        <v>672</v>
      </c>
      <c r="F90" t="s">
        <v>672</v>
      </c>
      <c r="G90" t="s">
        <v>1044</v>
      </c>
      <c r="H90" t="s">
        <v>1045</v>
      </c>
      <c r="I90" t="s">
        <v>672</v>
      </c>
      <c r="J90" t="s">
        <v>704</v>
      </c>
      <c r="K90" t="s">
        <v>677</v>
      </c>
      <c r="L90" t="s">
        <v>672</v>
      </c>
      <c r="M90" t="s">
        <v>672</v>
      </c>
      <c r="N90" t="s">
        <v>672</v>
      </c>
      <c r="O90" t="s">
        <v>942</v>
      </c>
      <c r="P90" t="s">
        <v>672</v>
      </c>
      <c r="Q90" t="s">
        <v>672</v>
      </c>
      <c r="R90" t="s">
        <v>672</v>
      </c>
      <c r="T90">
        <v>54</v>
      </c>
      <c r="U90" t="s">
        <v>673</v>
      </c>
      <c r="V90" t="s">
        <v>672</v>
      </c>
      <c r="W90" t="s">
        <v>672</v>
      </c>
      <c r="X90" t="s">
        <v>1043</v>
      </c>
      <c r="Y90" t="s">
        <v>672</v>
      </c>
      <c r="Z90" s="1">
        <v>44589</v>
      </c>
      <c r="AA90">
        <v>1</v>
      </c>
      <c r="AB90" t="s">
        <v>672</v>
      </c>
      <c r="AC90" t="s">
        <v>672</v>
      </c>
      <c r="AD90" t="s">
        <v>672</v>
      </c>
      <c r="AE90" t="s">
        <v>672</v>
      </c>
      <c r="AF90" t="s">
        <v>672</v>
      </c>
      <c r="AG90" t="s">
        <v>672</v>
      </c>
      <c r="AH90" t="s">
        <v>672</v>
      </c>
      <c r="AI90" t="s">
        <v>672</v>
      </c>
      <c r="AJ90" t="s">
        <v>672</v>
      </c>
      <c r="AK90" t="s">
        <v>672</v>
      </c>
      <c r="AL90" t="s">
        <v>672</v>
      </c>
      <c r="AM90" t="s">
        <v>672</v>
      </c>
      <c r="AN90" t="s">
        <v>672</v>
      </c>
      <c r="AO90" t="s">
        <v>672</v>
      </c>
      <c r="AP90">
        <v>3</v>
      </c>
      <c r="AQ90">
        <v>1</v>
      </c>
      <c r="AR90" t="s">
        <v>672</v>
      </c>
      <c r="AS90">
        <v>1</v>
      </c>
      <c r="AT90">
        <v>1</v>
      </c>
    </row>
    <row r="91" spans="1:46">
      <c r="A91" t="s">
        <v>382</v>
      </c>
      <c r="B91">
        <v>91</v>
      </c>
      <c r="C91" t="s">
        <v>1046</v>
      </c>
      <c r="D91" t="s">
        <v>672</v>
      </c>
      <c r="E91" t="s">
        <v>672</v>
      </c>
      <c r="F91" t="s">
        <v>672</v>
      </c>
      <c r="G91" t="s">
        <v>1047</v>
      </c>
      <c r="H91" t="s">
        <v>1048</v>
      </c>
      <c r="I91" t="s">
        <v>672</v>
      </c>
      <c r="J91" t="s">
        <v>704</v>
      </c>
      <c r="K91" t="s">
        <v>677</v>
      </c>
      <c r="L91" t="s">
        <v>672</v>
      </c>
      <c r="M91" t="s">
        <v>672</v>
      </c>
      <c r="N91" t="s">
        <v>672</v>
      </c>
      <c r="O91" t="s">
        <v>942</v>
      </c>
      <c r="P91" t="s">
        <v>672</v>
      </c>
      <c r="Q91" t="s">
        <v>672</v>
      </c>
      <c r="R91" t="s">
        <v>672</v>
      </c>
      <c r="S91">
        <v>777328417</v>
      </c>
      <c r="T91">
        <v>54</v>
      </c>
      <c r="U91" t="s">
        <v>673</v>
      </c>
      <c r="V91" t="s">
        <v>672</v>
      </c>
      <c r="W91" t="s">
        <v>672</v>
      </c>
      <c r="Y91" t="s">
        <v>672</v>
      </c>
      <c r="Z91" s="1">
        <v>44760</v>
      </c>
      <c r="AA91">
        <v>1</v>
      </c>
      <c r="AB91" t="s">
        <v>672</v>
      </c>
      <c r="AC91" t="s">
        <v>672</v>
      </c>
      <c r="AD91" t="s">
        <v>672</v>
      </c>
      <c r="AE91" t="s">
        <v>672</v>
      </c>
      <c r="AF91" t="s">
        <v>672</v>
      </c>
      <c r="AG91" t="s">
        <v>672</v>
      </c>
      <c r="AH91" t="s">
        <v>672</v>
      </c>
      <c r="AI91" t="s">
        <v>672</v>
      </c>
      <c r="AJ91" t="s">
        <v>672</v>
      </c>
      <c r="AK91" t="s">
        <v>672</v>
      </c>
      <c r="AL91" t="s">
        <v>672</v>
      </c>
      <c r="AM91" t="s">
        <v>672</v>
      </c>
      <c r="AN91" t="s">
        <v>672</v>
      </c>
      <c r="AO91" t="s">
        <v>672</v>
      </c>
      <c r="AP91">
        <v>3</v>
      </c>
      <c r="AQ91">
        <v>1</v>
      </c>
      <c r="AR91" t="s">
        <v>672</v>
      </c>
      <c r="AS91">
        <v>1</v>
      </c>
      <c r="AT91">
        <v>1</v>
      </c>
    </row>
    <row r="92" spans="1:46">
      <c r="A92" t="s">
        <v>378</v>
      </c>
      <c r="B92">
        <v>92</v>
      </c>
      <c r="C92" t="s">
        <v>1049</v>
      </c>
      <c r="D92" t="s">
        <v>672</v>
      </c>
      <c r="E92" t="s">
        <v>672</v>
      </c>
      <c r="F92" t="s">
        <v>672</v>
      </c>
      <c r="G92" t="s">
        <v>1050</v>
      </c>
      <c r="H92" t="s">
        <v>1051</v>
      </c>
      <c r="I92" t="s">
        <v>672</v>
      </c>
      <c r="J92" t="s">
        <v>676</v>
      </c>
      <c r="K92" t="s">
        <v>677</v>
      </c>
      <c r="L92" t="s">
        <v>672</v>
      </c>
      <c r="M92" t="s">
        <v>672</v>
      </c>
      <c r="N92" t="s">
        <v>672</v>
      </c>
      <c r="O92" t="s">
        <v>678</v>
      </c>
      <c r="P92" t="s">
        <v>672</v>
      </c>
      <c r="Q92" t="s">
        <v>672</v>
      </c>
      <c r="R92" t="s">
        <v>672</v>
      </c>
      <c r="T92">
        <v>54</v>
      </c>
      <c r="U92" t="s">
        <v>673</v>
      </c>
      <c r="V92" t="s">
        <v>672</v>
      </c>
      <c r="W92" t="s">
        <v>672</v>
      </c>
      <c r="Y92" t="s">
        <v>672</v>
      </c>
      <c r="Z92" s="1">
        <v>44951</v>
      </c>
      <c r="AA92">
        <v>1</v>
      </c>
      <c r="AB92" t="s">
        <v>672</v>
      </c>
      <c r="AC92" t="s">
        <v>672</v>
      </c>
      <c r="AD92" t="s">
        <v>672</v>
      </c>
      <c r="AE92" t="s">
        <v>672</v>
      </c>
      <c r="AF92" t="s">
        <v>672</v>
      </c>
      <c r="AG92" t="s">
        <v>672</v>
      </c>
      <c r="AH92" t="s">
        <v>672</v>
      </c>
      <c r="AI92" t="s">
        <v>672</v>
      </c>
      <c r="AJ92" t="s">
        <v>672</v>
      </c>
      <c r="AK92" t="s">
        <v>672</v>
      </c>
      <c r="AL92" t="s">
        <v>672</v>
      </c>
      <c r="AM92" t="s">
        <v>672</v>
      </c>
      <c r="AN92" t="s">
        <v>672</v>
      </c>
      <c r="AO92" t="s">
        <v>672</v>
      </c>
      <c r="AP92">
        <v>3</v>
      </c>
      <c r="AQ92">
        <v>1</v>
      </c>
      <c r="AR92" t="s">
        <v>672</v>
      </c>
      <c r="AS92">
        <v>1</v>
      </c>
      <c r="AT92">
        <v>1</v>
      </c>
    </row>
    <row r="93" spans="1:46">
      <c r="A93" t="s">
        <v>28</v>
      </c>
      <c r="B93">
        <v>93</v>
      </c>
      <c r="C93" t="s">
        <v>1052</v>
      </c>
      <c r="D93" t="s">
        <v>672</v>
      </c>
      <c r="E93" t="s">
        <v>672</v>
      </c>
      <c r="F93" t="s">
        <v>672</v>
      </c>
      <c r="G93" t="s">
        <v>1054</v>
      </c>
      <c r="H93" t="s">
        <v>1055</v>
      </c>
      <c r="I93" t="s">
        <v>672</v>
      </c>
      <c r="J93" t="s">
        <v>704</v>
      </c>
      <c r="K93" t="s">
        <v>677</v>
      </c>
      <c r="L93" t="s">
        <v>672</v>
      </c>
      <c r="M93" t="s">
        <v>672</v>
      </c>
      <c r="N93" t="s">
        <v>672</v>
      </c>
      <c r="O93" t="s">
        <v>705</v>
      </c>
      <c r="P93" t="s">
        <v>672</v>
      </c>
      <c r="Q93" t="s">
        <v>672</v>
      </c>
      <c r="R93" t="s">
        <v>672</v>
      </c>
      <c r="S93">
        <v>757118226</v>
      </c>
      <c r="T93">
        <v>54</v>
      </c>
      <c r="U93" t="s">
        <v>673</v>
      </c>
      <c r="V93" t="s">
        <v>672</v>
      </c>
      <c r="W93" t="s">
        <v>672</v>
      </c>
      <c r="X93" t="s">
        <v>1053</v>
      </c>
      <c r="Y93" t="s">
        <v>672</v>
      </c>
      <c r="Z93" s="1">
        <v>44951</v>
      </c>
      <c r="AA93">
        <v>1</v>
      </c>
      <c r="AB93" t="s">
        <v>672</v>
      </c>
      <c r="AC93" t="s">
        <v>672</v>
      </c>
      <c r="AD93" t="s">
        <v>672</v>
      </c>
      <c r="AE93" t="s">
        <v>672</v>
      </c>
      <c r="AF93" t="s">
        <v>672</v>
      </c>
      <c r="AG93" t="s">
        <v>672</v>
      </c>
      <c r="AH93" t="s">
        <v>672</v>
      </c>
      <c r="AI93" t="s">
        <v>672</v>
      </c>
      <c r="AJ93" t="s">
        <v>672</v>
      </c>
      <c r="AK93" t="s">
        <v>672</v>
      </c>
      <c r="AL93" t="s">
        <v>672</v>
      </c>
      <c r="AM93" t="s">
        <v>672</v>
      </c>
      <c r="AN93" t="s">
        <v>672</v>
      </c>
      <c r="AO93" t="s">
        <v>672</v>
      </c>
      <c r="AP93">
        <v>3</v>
      </c>
      <c r="AQ93">
        <v>1</v>
      </c>
      <c r="AR93" t="s">
        <v>672</v>
      </c>
      <c r="AS93">
        <v>1</v>
      </c>
      <c r="AT93">
        <v>1</v>
      </c>
    </row>
    <row r="94" spans="1:46">
      <c r="A94" t="s">
        <v>1057</v>
      </c>
      <c r="B94">
        <v>94</v>
      </c>
      <c r="C94" t="s">
        <v>1056</v>
      </c>
      <c r="D94" t="s">
        <v>672</v>
      </c>
      <c r="E94" t="s">
        <v>672</v>
      </c>
      <c r="F94" t="s">
        <v>672</v>
      </c>
      <c r="G94" t="s">
        <v>1058</v>
      </c>
      <c r="H94" t="s">
        <v>914</v>
      </c>
      <c r="I94" t="s">
        <v>672</v>
      </c>
      <c r="J94" t="s">
        <v>676</v>
      </c>
      <c r="K94" t="s">
        <v>677</v>
      </c>
      <c r="L94" t="s">
        <v>672</v>
      </c>
      <c r="M94" t="s">
        <v>672</v>
      </c>
      <c r="N94" t="s">
        <v>672</v>
      </c>
      <c r="O94" t="s">
        <v>705</v>
      </c>
      <c r="P94" t="s">
        <v>672</v>
      </c>
      <c r="Q94" t="s">
        <v>672</v>
      </c>
      <c r="R94" t="s">
        <v>672</v>
      </c>
      <c r="T94">
        <v>54</v>
      </c>
      <c r="U94" t="s">
        <v>673</v>
      </c>
      <c r="V94" t="s">
        <v>672</v>
      </c>
      <c r="W94" t="s">
        <v>672</v>
      </c>
      <c r="Y94" t="s">
        <v>672</v>
      </c>
      <c r="Z94" s="1">
        <v>44956</v>
      </c>
      <c r="AA94">
        <v>1</v>
      </c>
      <c r="AB94" t="s">
        <v>672</v>
      </c>
      <c r="AC94" t="s">
        <v>672</v>
      </c>
      <c r="AD94" t="s">
        <v>672</v>
      </c>
      <c r="AE94" t="s">
        <v>672</v>
      </c>
      <c r="AF94" t="s">
        <v>672</v>
      </c>
      <c r="AG94" t="s">
        <v>672</v>
      </c>
      <c r="AH94" t="s">
        <v>672</v>
      </c>
      <c r="AI94" t="s">
        <v>672</v>
      </c>
      <c r="AJ94" t="s">
        <v>672</v>
      </c>
      <c r="AK94" t="s">
        <v>672</v>
      </c>
      <c r="AL94" t="s">
        <v>672</v>
      </c>
      <c r="AM94" t="s">
        <v>672</v>
      </c>
      <c r="AN94" t="s">
        <v>672</v>
      </c>
      <c r="AO94" t="s">
        <v>672</v>
      </c>
      <c r="AP94">
        <v>3</v>
      </c>
      <c r="AQ94">
        <v>1</v>
      </c>
      <c r="AR94" t="s">
        <v>672</v>
      </c>
      <c r="AS94">
        <v>1</v>
      </c>
      <c r="AT94">
        <v>1</v>
      </c>
    </row>
    <row r="95" spans="1:46">
      <c r="A95" t="s">
        <v>102</v>
      </c>
      <c r="B95">
        <v>95</v>
      </c>
      <c r="C95" t="s">
        <v>1059</v>
      </c>
      <c r="D95" t="s">
        <v>672</v>
      </c>
      <c r="E95" t="s">
        <v>672</v>
      </c>
      <c r="F95" t="s">
        <v>672</v>
      </c>
      <c r="G95" t="s">
        <v>1060</v>
      </c>
      <c r="H95" t="s">
        <v>1061</v>
      </c>
      <c r="I95" t="s">
        <v>672</v>
      </c>
      <c r="J95" t="s">
        <v>704</v>
      </c>
      <c r="K95" t="s">
        <v>677</v>
      </c>
      <c r="L95" t="s">
        <v>672</v>
      </c>
      <c r="M95" t="s">
        <v>672</v>
      </c>
      <c r="N95" t="s">
        <v>672</v>
      </c>
      <c r="O95" t="s">
        <v>750</v>
      </c>
      <c r="P95" t="s">
        <v>672</v>
      </c>
      <c r="Q95" t="s">
        <v>672</v>
      </c>
      <c r="R95" t="s">
        <v>672</v>
      </c>
      <c r="S95">
        <v>708824664</v>
      </c>
      <c r="T95">
        <v>54</v>
      </c>
      <c r="U95" t="s">
        <v>673</v>
      </c>
      <c r="V95" t="s">
        <v>672</v>
      </c>
      <c r="W95" t="s">
        <v>672</v>
      </c>
      <c r="X95" t="s">
        <v>706</v>
      </c>
      <c r="Y95" t="s">
        <v>672</v>
      </c>
      <c r="Z95" s="1">
        <v>44956</v>
      </c>
      <c r="AA95">
        <v>1</v>
      </c>
      <c r="AB95" t="s">
        <v>672</v>
      </c>
      <c r="AC95" t="s">
        <v>672</v>
      </c>
      <c r="AD95" t="s">
        <v>672</v>
      </c>
      <c r="AE95" t="s">
        <v>672</v>
      </c>
      <c r="AF95" t="s">
        <v>672</v>
      </c>
      <c r="AG95" t="s">
        <v>672</v>
      </c>
      <c r="AH95" t="s">
        <v>672</v>
      </c>
      <c r="AI95" t="s">
        <v>672</v>
      </c>
      <c r="AJ95" t="s">
        <v>672</v>
      </c>
      <c r="AK95" t="s">
        <v>672</v>
      </c>
      <c r="AL95" t="s">
        <v>672</v>
      </c>
      <c r="AM95" t="s">
        <v>672</v>
      </c>
      <c r="AN95" t="s">
        <v>672</v>
      </c>
      <c r="AO95" t="s">
        <v>672</v>
      </c>
      <c r="AP95">
        <v>3</v>
      </c>
      <c r="AQ95">
        <v>1</v>
      </c>
      <c r="AR95" t="s">
        <v>672</v>
      </c>
      <c r="AS95">
        <v>1</v>
      </c>
      <c r="AT95">
        <v>1</v>
      </c>
    </row>
    <row r="96" spans="1:46">
      <c r="A96" t="s">
        <v>378</v>
      </c>
      <c r="B96">
        <v>96</v>
      </c>
      <c r="C96" t="s">
        <v>379</v>
      </c>
      <c r="D96" t="s">
        <v>672</v>
      </c>
      <c r="E96" t="s">
        <v>672</v>
      </c>
      <c r="F96" t="s">
        <v>672</v>
      </c>
      <c r="G96" t="s">
        <v>1062</v>
      </c>
      <c r="H96" t="s">
        <v>1063</v>
      </c>
      <c r="I96" t="s">
        <v>672</v>
      </c>
      <c r="J96" t="s">
        <v>704</v>
      </c>
      <c r="K96" t="s">
        <v>677</v>
      </c>
      <c r="L96" t="s">
        <v>672</v>
      </c>
      <c r="M96" t="s">
        <v>672</v>
      </c>
      <c r="N96" t="s">
        <v>672</v>
      </c>
      <c r="O96" t="s">
        <v>705</v>
      </c>
      <c r="P96" t="s">
        <v>672</v>
      </c>
      <c r="Q96" t="s">
        <v>672</v>
      </c>
      <c r="R96" t="s">
        <v>672</v>
      </c>
      <c r="S96">
        <v>709767690</v>
      </c>
      <c r="T96">
        <v>54</v>
      </c>
      <c r="U96" t="s">
        <v>673</v>
      </c>
      <c r="V96" t="s">
        <v>672</v>
      </c>
      <c r="W96" t="s">
        <v>672</v>
      </c>
      <c r="X96" t="s">
        <v>701</v>
      </c>
      <c r="Y96" t="s">
        <v>672</v>
      </c>
      <c r="Z96" s="1">
        <v>44589</v>
      </c>
      <c r="AA96">
        <v>1</v>
      </c>
      <c r="AB96" t="s">
        <v>672</v>
      </c>
      <c r="AC96" t="s">
        <v>672</v>
      </c>
      <c r="AD96" t="s">
        <v>672</v>
      </c>
      <c r="AE96" t="s">
        <v>672</v>
      </c>
      <c r="AF96" t="s">
        <v>672</v>
      </c>
      <c r="AG96" t="s">
        <v>672</v>
      </c>
      <c r="AH96" t="s">
        <v>672</v>
      </c>
      <c r="AI96" t="s">
        <v>672</v>
      </c>
      <c r="AJ96" t="s">
        <v>672</v>
      </c>
      <c r="AK96" t="s">
        <v>672</v>
      </c>
      <c r="AL96" t="s">
        <v>672</v>
      </c>
      <c r="AM96" t="s">
        <v>672</v>
      </c>
      <c r="AN96" t="s">
        <v>672</v>
      </c>
      <c r="AO96" t="s">
        <v>672</v>
      </c>
      <c r="AP96">
        <v>3</v>
      </c>
      <c r="AQ96">
        <v>1</v>
      </c>
      <c r="AR96" t="s">
        <v>672</v>
      </c>
      <c r="AS96">
        <v>1</v>
      </c>
      <c r="AT96">
        <v>1</v>
      </c>
    </row>
    <row r="97" spans="1:46">
      <c r="A97" t="s">
        <v>588</v>
      </c>
      <c r="B97">
        <v>97</v>
      </c>
      <c r="C97" t="s">
        <v>1064</v>
      </c>
      <c r="D97" t="s">
        <v>672</v>
      </c>
      <c r="E97" t="s">
        <v>672</v>
      </c>
      <c r="F97" t="s">
        <v>672</v>
      </c>
      <c r="G97" t="s">
        <v>1065</v>
      </c>
      <c r="H97" t="s">
        <v>1066</v>
      </c>
      <c r="I97" t="s">
        <v>672</v>
      </c>
      <c r="J97" t="s">
        <v>704</v>
      </c>
      <c r="K97" t="s">
        <v>677</v>
      </c>
      <c r="L97" t="s">
        <v>672</v>
      </c>
      <c r="M97" t="s">
        <v>672</v>
      </c>
      <c r="N97" t="s">
        <v>672</v>
      </c>
      <c r="O97" t="s">
        <v>705</v>
      </c>
      <c r="P97" t="s">
        <v>672</v>
      </c>
      <c r="Q97" t="s">
        <v>672</v>
      </c>
      <c r="R97" t="s">
        <v>672</v>
      </c>
      <c r="S97">
        <v>709767690</v>
      </c>
      <c r="T97">
        <v>54</v>
      </c>
      <c r="U97" t="s">
        <v>673</v>
      </c>
      <c r="V97" t="s">
        <v>672</v>
      </c>
      <c r="W97" t="s">
        <v>672</v>
      </c>
      <c r="X97" t="s">
        <v>701</v>
      </c>
      <c r="Y97" t="s">
        <v>672</v>
      </c>
      <c r="Z97" s="1">
        <v>44589</v>
      </c>
      <c r="AA97">
        <v>1</v>
      </c>
      <c r="AB97" t="s">
        <v>672</v>
      </c>
      <c r="AC97" t="s">
        <v>672</v>
      </c>
      <c r="AD97" t="s">
        <v>672</v>
      </c>
      <c r="AE97" t="s">
        <v>672</v>
      </c>
      <c r="AF97" t="s">
        <v>672</v>
      </c>
      <c r="AG97" t="s">
        <v>672</v>
      </c>
      <c r="AH97" t="s">
        <v>672</v>
      </c>
      <c r="AI97" t="s">
        <v>672</v>
      </c>
      <c r="AJ97" t="s">
        <v>672</v>
      </c>
      <c r="AK97" t="s">
        <v>672</v>
      </c>
      <c r="AL97" t="s">
        <v>672</v>
      </c>
      <c r="AM97" t="s">
        <v>672</v>
      </c>
      <c r="AN97" t="s">
        <v>672</v>
      </c>
      <c r="AO97" t="s">
        <v>672</v>
      </c>
      <c r="AP97">
        <v>3</v>
      </c>
      <c r="AQ97">
        <v>1</v>
      </c>
      <c r="AR97" t="s">
        <v>672</v>
      </c>
      <c r="AS97">
        <v>1</v>
      </c>
      <c r="AT97">
        <v>1</v>
      </c>
    </row>
    <row r="98" spans="1:46">
      <c r="A98" t="s">
        <v>362</v>
      </c>
      <c r="B98">
        <v>98</v>
      </c>
      <c r="C98" t="s">
        <v>1067</v>
      </c>
      <c r="D98" t="s">
        <v>672</v>
      </c>
      <c r="E98" t="s">
        <v>672</v>
      </c>
      <c r="F98" t="s">
        <v>672</v>
      </c>
      <c r="G98" t="s">
        <v>1069</v>
      </c>
      <c r="H98" t="s">
        <v>1070</v>
      </c>
      <c r="I98" t="s">
        <v>672</v>
      </c>
      <c r="J98" t="s">
        <v>704</v>
      </c>
      <c r="K98" t="s">
        <v>677</v>
      </c>
      <c r="L98" t="s">
        <v>672</v>
      </c>
      <c r="M98" t="s">
        <v>672</v>
      </c>
      <c r="N98" t="s">
        <v>672</v>
      </c>
      <c r="O98" t="s">
        <v>798</v>
      </c>
      <c r="P98" t="s">
        <v>672</v>
      </c>
      <c r="Q98" t="s">
        <v>672</v>
      </c>
      <c r="R98" t="s">
        <v>672</v>
      </c>
      <c r="S98">
        <v>707278352</v>
      </c>
      <c r="T98">
        <v>54</v>
      </c>
      <c r="U98" t="s">
        <v>673</v>
      </c>
      <c r="V98" t="s">
        <v>672</v>
      </c>
      <c r="W98" t="s">
        <v>672</v>
      </c>
      <c r="X98" t="s">
        <v>1068</v>
      </c>
      <c r="Y98" t="s">
        <v>672</v>
      </c>
      <c r="Z98" s="1">
        <v>44589</v>
      </c>
      <c r="AA98">
        <v>1</v>
      </c>
      <c r="AB98" t="s">
        <v>672</v>
      </c>
      <c r="AC98" t="s">
        <v>672</v>
      </c>
      <c r="AD98" t="s">
        <v>672</v>
      </c>
      <c r="AE98" t="s">
        <v>672</v>
      </c>
      <c r="AF98" t="s">
        <v>672</v>
      </c>
      <c r="AG98" t="s">
        <v>672</v>
      </c>
      <c r="AH98" t="s">
        <v>672</v>
      </c>
      <c r="AI98" t="s">
        <v>672</v>
      </c>
      <c r="AJ98" t="s">
        <v>672</v>
      </c>
      <c r="AK98" t="s">
        <v>672</v>
      </c>
      <c r="AL98" t="s">
        <v>672</v>
      </c>
      <c r="AM98" t="s">
        <v>672</v>
      </c>
      <c r="AN98" t="s">
        <v>672</v>
      </c>
      <c r="AO98" t="s">
        <v>672</v>
      </c>
      <c r="AP98">
        <v>3</v>
      </c>
      <c r="AQ98">
        <v>1</v>
      </c>
      <c r="AR98" t="s">
        <v>672</v>
      </c>
      <c r="AS98">
        <v>1</v>
      </c>
      <c r="AT98">
        <v>1</v>
      </c>
    </row>
    <row r="99" spans="1:46">
      <c r="A99" t="s">
        <v>426</v>
      </c>
      <c r="B99">
        <v>99</v>
      </c>
      <c r="C99" t="s">
        <v>1071</v>
      </c>
      <c r="D99">
        <v>76</v>
      </c>
      <c r="G99" t="s">
        <v>1072</v>
      </c>
      <c r="H99" t="s">
        <v>1073</v>
      </c>
      <c r="J99" t="s">
        <v>704</v>
      </c>
      <c r="K99" t="s">
        <v>677</v>
      </c>
      <c r="O99" t="s">
        <v>834</v>
      </c>
      <c r="S99">
        <v>505596296</v>
      </c>
      <c r="T99">
        <v>54</v>
      </c>
      <c r="U99" t="s">
        <v>673</v>
      </c>
      <c r="X99" t="s">
        <v>788</v>
      </c>
      <c r="Z99" s="1">
        <v>44490</v>
      </c>
      <c r="AA99">
        <v>1</v>
      </c>
      <c r="AB99" t="s">
        <v>672</v>
      </c>
      <c r="AC99" t="s">
        <v>672</v>
      </c>
      <c r="AG99">
        <v>0</v>
      </c>
      <c r="AL99">
        <v>0</v>
      </c>
      <c r="AM99" t="s">
        <v>672</v>
      </c>
      <c r="AN99" t="s">
        <v>672</v>
      </c>
      <c r="AO99" t="s">
        <v>672</v>
      </c>
      <c r="AP99">
        <v>0</v>
      </c>
      <c r="AQ99">
        <v>1</v>
      </c>
      <c r="AR99" t="s">
        <v>672</v>
      </c>
      <c r="AS99">
        <v>1</v>
      </c>
      <c r="AT99">
        <v>1</v>
      </c>
    </row>
    <row r="100" spans="1:46">
      <c r="A100" t="s">
        <v>158</v>
      </c>
      <c r="B100">
        <v>100</v>
      </c>
      <c r="C100" t="s">
        <v>1074</v>
      </c>
      <c r="D100" t="s">
        <v>672</v>
      </c>
      <c r="E100" t="s">
        <v>672</v>
      </c>
      <c r="F100" t="s">
        <v>672</v>
      </c>
      <c r="G100" t="s">
        <v>1076</v>
      </c>
      <c r="H100" t="s">
        <v>1077</v>
      </c>
      <c r="I100" t="s">
        <v>672</v>
      </c>
      <c r="J100" t="s">
        <v>1078</v>
      </c>
      <c r="K100" t="s">
        <v>677</v>
      </c>
      <c r="L100" t="s">
        <v>672</v>
      </c>
      <c r="M100" t="s">
        <v>672</v>
      </c>
      <c r="N100" t="s">
        <v>672</v>
      </c>
      <c r="O100" t="s">
        <v>692</v>
      </c>
      <c r="P100" t="s">
        <v>672</v>
      </c>
      <c r="Q100" t="s">
        <v>672</v>
      </c>
      <c r="R100" t="s">
        <v>672</v>
      </c>
      <c r="T100">
        <v>54</v>
      </c>
      <c r="U100" t="s">
        <v>673</v>
      </c>
      <c r="V100" t="s">
        <v>672</v>
      </c>
      <c r="W100" t="s">
        <v>672</v>
      </c>
      <c r="X100" t="s">
        <v>1075</v>
      </c>
      <c r="Y100" t="s">
        <v>672</v>
      </c>
      <c r="Z100" s="1">
        <v>44592</v>
      </c>
      <c r="AA100">
        <v>1</v>
      </c>
      <c r="AB100" t="s">
        <v>672</v>
      </c>
      <c r="AC100" t="s">
        <v>672</v>
      </c>
      <c r="AD100" t="s">
        <v>672</v>
      </c>
      <c r="AE100" t="s">
        <v>672</v>
      </c>
      <c r="AF100" t="s">
        <v>672</v>
      </c>
      <c r="AG100" t="s">
        <v>672</v>
      </c>
      <c r="AH100" t="s">
        <v>672</v>
      </c>
      <c r="AI100" t="s">
        <v>672</v>
      </c>
      <c r="AJ100" t="s">
        <v>672</v>
      </c>
      <c r="AK100" t="s">
        <v>672</v>
      </c>
      <c r="AL100" t="s">
        <v>672</v>
      </c>
      <c r="AM100" t="s">
        <v>672</v>
      </c>
      <c r="AN100" t="s">
        <v>672</v>
      </c>
      <c r="AO100" t="s">
        <v>672</v>
      </c>
      <c r="AP100">
        <v>3</v>
      </c>
      <c r="AQ100">
        <v>1</v>
      </c>
      <c r="AR100" t="s">
        <v>672</v>
      </c>
      <c r="AS100">
        <v>1</v>
      </c>
      <c r="AT100">
        <v>1</v>
      </c>
    </row>
    <row r="101" spans="1:46">
      <c r="A101" t="s">
        <v>432</v>
      </c>
      <c r="B101">
        <v>101</v>
      </c>
      <c r="C101" t="s">
        <v>433</v>
      </c>
      <c r="D101" t="s">
        <v>672</v>
      </c>
      <c r="E101" t="s">
        <v>672</v>
      </c>
      <c r="F101" t="s">
        <v>672</v>
      </c>
      <c r="G101" t="s">
        <v>1080</v>
      </c>
      <c r="H101" t="s">
        <v>1081</v>
      </c>
      <c r="I101" t="s">
        <v>672</v>
      </c>
      <c r="J101" t="s">
        <v>704</v>
      </c>
      <c r="K101" t="s">
        <v>677</v>
      </c>
      <c r="L101" t="s">
        <v>672</v>
      </c>
      <c r="M101" t="s">
        <v>672</v>
      </c>
      <c r="N101" t="s">
        <v>672</v>
      </c>
      <c r="O101" t="s">
        <v>705</v>
      </c>
      <c r="P101" t="s">
        <v>672</v>
      </c>
      <c r="Q101" t="s">
        <v>672</v>
      </c>
      <c r="R101" t="s">
        <v>672</v>
      </c>
      <c r="S101">
        <v>708247146</v>
      </c>
      <c r="T101">
        <v>54</v>
      </c>
      <c r="U101" t="s">
        <v>673</v>
      </c>
      <c r="V101" t="s">
        <v>672</v>
      </c>
      <c r="W101" t="s">
        <v>672</v>
      </c>
      <c r="X101" t="s">
        <v>1079</v>
      </c>
      <c r="Y101" t="s">
        <v>672</v>
      </c>
      <c r="Z101" s="1">
        <v>44589</v>
      </c>
      <c r="AA101">
        <v>1</v>
      </c>
      <c r="AB101" t="s">
        <v>672</v>
      </c>
      <c r="AC101" t="s">
        <v>672</v>
      </c>
      <c r="AD101" t="s">
        <v>672</v>
      </c>
      <c r="AE101" t="s">
        <v>672</v>
      </c>
      <c r="AF101" t="s">
        <v>672</v>
      </c>
      <c r="AG101" t="s">
        <v>672</v>
      </c>
      <c r="AH101" t="s">
        <v>672</v>
      </c>
      <c r="AI101" t="s">
        <v>672</v>
      </c>
      <c r="AJ101" t="s">
        <v>672</v>
      </c>
      <c r="AK101" t="s">
        <v>672</v>
      </c>
      <c r="AL101" t="s">
        <v>672</v>
      </c>
      <c r="AM101" t="s">
        <v>672</v>
      </c>
      <c r="AN101" t="s">
        <v>672</v>
      </c>
      <c r="AO101" t="s">
        <v>672</v>
      </c>
      <c r="AP101">
        <v>3</v>
      </c>
      <c r="AQ101">
        <v>1</v>
      </c>
      <c r="AR101" t="s">
        <v>672</v>
      </c>
      <c r="AS101">
        <v>1</v>
      </c>
      <c r="AT101">
        <v>1</v>
      </c>
    </row>
    <row r="102" spans="1:46">
      <c r="A102" t="s">
        <v>512</v>
      </c>
      <c r="B102">
        <v>102</v>
      </c>
      <c r="C102" t="s">
        <v>513</v>
      </c>
      <c r="D102" t="s">
        <v>672</v>
      </c>
      <c r="E102" t="s">
        <v>672</v>
      </c>
      <c r="F102" t="s">
        <v>672</v>
      </c>
      <c r="G102" t="s">
        <v>1083</v>
      </c>
      <c r="H102" t="s">
        <v>1084</v>
      </c>
      <c r="I102" t="s">
        <v>672</v>
      </c>
      <c r="J102" t="s">
        <v>704</v>
      </c>
      <c r="K102" t="s">
        <v>677</v>
      </c>
      <c r="L102" t="s">
        <v>672</v>
      </c>
      <c r="M102" t="s">
        <v>672</v>
      </c>
      <c r="N102" t="s">
        <v>672</v>
      </c>
      <c r="O102" t="s">
        <v>692</v>
      </c>
      <c r="P102" t="s">
        <v>672</v>
      </c>
      <c r="Q102" t="s">
        <v>672</v>
      </c>
      <c r="R102" t="s">
        <v>672</v>
      </c>
      <c r="S102">
        <v>555800500</v>
      </c>
      <c r="T102">
        <v>54</v>
      </c>
      <c r="U102" t="s">
        <v>673</v>
      </c>
      <c r="V102" t="s">
        <v>672</v>
      </c>
      <c r="W102" t="s">
        <v>672</v>
      </c>
      <c r="X102" t="s">
        <v>1082</v>
      </c>
      <c r="Y102" t="s">
        <v>672</v>
      </c>
      <c r="Z102" s="1">
        <v>44589</v>
      </c>
      <c r="AA102">
        <v>1</v>
      </c>
      <c r="AB102" t="s">
        <v>672</v>
      </c>
      <c r="AC102" t="s">
        <v>672</v>
      </c>
      <c r="AD102" t="s">
        <v>672</v>
      </c>
      <c r="AE102" t="s">
        <v>672</v>
      </c>
      <c r="AF102" t="s">
        <v>672</v>
      </c>
      <c r="AG102" t="s">
        <v>672</v>
      </c>
      <c r="AH102" t="s">
        <v>672</v>
      </c>
      <c r="AI102" t="s">
        <v>672</v>
      </c>
      <c r="AJ102" t="s">
        <v>672</v>
      </c>
      <c r="AK102" t="s">
        <v>672</v>
      </c>
      <c r="AL102" t="s">
        <v>672</v>
      </c>
      <c r="AM102" t="s">
        <v>672</v>
      </c>
      <c r="AN102" t="s">
        <v>672</v>
      </c>
      <c r="AO102" t="s">
        <v>672</v>
      </c>
      <c r="AP102">
        <v>3</v>
      </c>
      <c r="AQ102">
        <v>1</v>
      </c>
      <c r="AR102" t="s">
        <v>672</v>
      </c>
      <c r="AS102">
        <v>1</v>
      </c>
      <c r="AT102">
        <v>1</v>
      </c>
    </row>
    <row r="103" spans="1:46">
      <c r="A103" t="s">
        <v>82</v>
      </c>
      <c r="B103">
        <v>103</v>
      </c>
      <c r="C103" t="s">
        <v>83</v>
      </c>
      <c r="D103" t="s">
        <v>672</v>
      </c>
      <c r="E103" t="s">
        <v>672</v>
      </c>
      <c r="F103" t="s">
        <v>672</v>
      </c>
      <c r="G103" t="s">
        <v>1085</v>
      </c>
      <c r="H103" t="s">
        <v>1086</v>
      </c>
      <c r="I103" t="s">
        <v>672</v>
      </c>
      <c r="J103" t="s">
        <v>704</v>
      </c>
      <c r="K103" t="s">
        <v>677</v>
      </c>
      <c r="L103" t="s">
        <v>672</v>
      </c>
      <c r="M103" t="s">
        <v>672</v>
      </c>
      <c r="N103" t="s">
        <v>672</v>
      </c>
      <c r="O103" t="s">
        <v>678</v>
      </c>
      <c r="P103" t="s">
        <v>672</v>
      </c>
      <c r="Q103" t="s">
        <v>672</v>
      </c>
      <c r="R103" t="s">
        <v>672</v>
      </c>
      <c r="S103">
        <v>757921316</v>
      </c>
      <c r="T103">
        <v>54</v>
      </c>
      <c r="U103" t="s">
        <v>673</v>
      </c>
      <c r="V103" t="s">
        <v>672</v>
      </c>
      <c r="W103" t="s">
        <v>672</v>
      </c>
      <c r="X103" t="s">
        <v>859</v>
      </c>
      <c r="Y103" t="s">
        <v>672</v>
      </c>
      <c r="Z103" s="1">
        <v>44472</v>
      </c>
      <c r="AA103">
        <v>1</v>
      </c>
      <c r="AB103" t="s">
        <v>672</v>
      </c>
      <c r="AC103" t="s">
        <v>672</v>
      </c>
      <c r="AD103" t="s">
        <v>672</v>
      </c>
      <c r="AE103" t="s">
        <v>672</v>
      </c>
      <c r="AF103" t="s">
        <v>672</v>
      </c>
      <c r="AG103" t="s">
        <v>672</v>
      </c>
      <c r="AH103" t="s">
        <v>672</v>
      </c>
      <c r="AI103" t="s">
        <v>672</v>
      </c>
      <c r="AJ103" t="s">
        <v>672</v>
      </c>
      <c r="AK103" t="s">
        <v>672</v>
      </c>
      <c r="AL103" t="s">
        <v>672</v>
      </c>
      <c r="AM103" t="s">
        <v>672</v>
      </c>
      <c r="AN103" t="s">
        <v>672</v>
      </c>
      <c r="AO103" t="s">
        <v>672</v>
      </c>
      <c r="AP103">
        <v>3</v>
      </c>
      <c r="AQ103">
        <v>1</v>
      </c>
      <c r="AR103" t="s">
        <v>672</v>
      </c>
      <c r="AS103">
        <v>1</v>
      </c>
      <c r="AT103">
        <v>1</v>
      </c>
    </row>
    <row r="104" spans="1:46">
      <c r="A104" t="s">
        <v>4</v>
      </c>
      <c r="B104">
        <v>104</v>
      </c>
      <c r="C104" t="s">
        <v>5</v>
      </c>
      <c r="D104" t="s">
        <v>672</v>
      </c>
      <c r="E104" t="s">
        <v>672</v>
      </c>
      <c r="F104" t="s">
        <v>672</v>
      </c>
      <c r="G104" t="s">
        <v>1088</v>
      </c>
      <c r="H104" t="s">
        <v>759</v>
      </c>
      <c r="I104" t="s">
        <v>672</v>
      </c>
      <c r="J104" t="s">
        <v>704</v>
      </c>
      <c r="K104" t="s">
        <v>677</v>
      </c>
      <c r="L104" t="s">
        <v>672</v>
      </c>
      <c r="M104" t="s">
        <v>672</v>
      </c>
      <c r="N104" t="s">
        <v>672</v>
      </c>
      <c r="O104" t="s">
        <v>705</v>
      </c>
      <c r="P104" t="s">
        <v>672</v>
      </c>
      <c r="Q104" t="s">
        <v>672</v>
      </c>
      <c r="R104" t="s">
        <v>672</v>
      </c>
      <c r="S104">
        <v>708514241</v>
      </c>
      <c r="T104">
        <v>54</v>
      </c>
      <c r="U104" t="s">
        <v>673</v>
      </c>
      <c r="V104" t="s">
        <v>672</v>
      </c>
      <c r="W104" t="s">
        <v>672</v>
      </c>
      <c r="X104" t="s">
        <v>1087</v>
      </c>
      <c r="Y104" t="s">
        <v>672</v>
      </c>
      <c r="Z104" s="1">
        <v>43479</v>
      </c>
      <c r="AA104">
        <v>1</v>
      </c>
      <c r="AB104" t="s">
        <v>672</v>
      </c>
      <c r="AC104" t="s">
        <v>672</v>
      </c>
      <c r="AD104" t="s">
        <v>672</v>
      </c>
      <c r="AE104" t="s">
        <v>672</v>
      </c>
      <c r="AF104" t="s">
        <v>672</v>
      </c>
      <c r="AG104" t="s">
        <v>672</v>
      </c>
      <c r="AH104" t="s">
        <v>672</v>
      </c>
      <c r="AI104" t="s">
        <v>672</v>
      </c>
      <c r="AJ104" t="s">
        <v>672</v>
      </c>
      <c r="AK104" t="s">
        <v>672</v>
      </c>
      <c r="AL104" t="s">
        <v>672</v>
      </c>
      <c r="AM104" t="s">
        <v>672</v>
      </c>
      <c r="AN104" t="s">
        <v>672</v>
      </c>
      <c r="AO104" t="s">
        <v>672</v>
      </c>
      <c r="AP104">
        <v>3</v>
      </c>
      <c r="AQ104">
        <v>1</v>
      </c>
      <c r="AR104" t="s">
        <v>672</v>
      </c>
      <c r="AS104">
        <v>1</v>
      </c>
      <c r="AT104">
        <v>1</v>
      </c>
    </row>
    <row r="105" spans="1:46">
      <c r="A105" t="s">
        <v>0</v>
      </c>
      <c r="B105">
        <v>105</v>
      </c>
      <c r="C105" t="s">
        <v>1089</v>
      </c>
      <c r="D105" t="s">
        <v>672</v>
      </c>
      <c r="E105" t="s">
        <v>672</v>
      </c>
      <c r="F105" t="s">
        <v>672</v>
      </c>
      <c r="G105" t="s">
        <v>1091</v>
      </c>
      <c r="H105" t="s">
        <v>1092</v>
      </c>
      <c r="I105" t="s">
        <v>672</v>
      </c>
      <c r="J105" t="s">
        <v>704</v>
      </c>
      <c r="K105" t="s">
        <v>677</v>
      </c>
      <c r="L105" t="s">
        <v>672</v>
      </c>
      <c r="M105" t="s">
        <v>672</v>
      </c>
      <c r="N105" t="s">
        <v>672</v>
      </c>
      <c r="O105" t="s">
        <v>692</v>
      </c>
      <c r="P105" t="s">
        <v>672</v>
      </c>
      <c r="Q105" t="s">
        <v>672</v>
      </c>
      <c r="R105" t="s">
        <v>672</v>
      </c>
      <c r="S105">
        <v>708047428</v>
      </c>
      <c r="T105">
        <v>54</v>
      </c>
      <c r="U105" t="s">
        <v>673</v>
      </c>
      <c r="V105" t="s">
        <v>672</v>
      </c>
      <c r="W105" t="s">
        <v>672</v>
      </c>
      <c r="X105" t="s">
        <v>1090</v>
      </c>
      <c r="Y105" t="s">
        <v>672</v>
      </c>
      <c r="Z105" s="1">
        <v>44224</v>
      </c>
      <c r="AA105">
        <v>1</v>
      </c>
      <c r="AB105" t="s">
        <v>672</v>
      </c>
      <c r="AC105" t="s">
        <v>672</v>
      </c>
      <c r="AD105" t="s">
        <v>672</v>
      </c>
      <c r="AE105" t="s">
        <v>672</v>
      </c>
      <c r="AF105" t="s">
        <v>672</v>
      </c>
      <c r="AG105" t="s">
        <v>672</v>
      </c>
      <c r="AH105" t="s">
        <v>672</v>
      </c>
      <c r="AI105" t="s">
        <v>672</v>
      </c>
      <c r="AJ105" t="s">
        <v>672</v>
      </c>
      <c r="AK105" t="s">
        <v>672</v>
      </c>
      <c r="AL105" t="s">
        <v>672</v>
      </c>
      <c r="AM105" t="s">
        <v>672</v>
      </c>
      <c r="AN105" t="s">
        <v>672</v>
      </c>
      <c r="AO105" t="s">
        <v>672</v>
      </c>
      <c r="AP105">
        <v>3</v>
      </c>
      <c r="AQ105">
        <v>1</v>
      </c>
      <c r="AR105" t="s">
        <v>672</v>
      </c>
      <c r="AS105">
        <v>1</v>
      </c>
      <c r="AT105">
        <v>1</v>
      </c>
    </row>
    <row r="106" spans="1:46">
      <c r="A106" t="s">
        <v>646</v>
      </c>
      <c r="B106">
        <v>106</v>
      </c>
      <c r="C106" t="s">
        <v>647</v>
      </c>
      <c r="D106" t="s">
        <v>672</v>
      </c>
      <c r="E106" t="s">
        <v>672</v>
      </c>
      <c r="F106" t="s">
        <v>672</v>
      </c>
      <c r="G106" t="s">
        <v>1094</v>
      </c>
      <c r="H106" t="s">
        <v>1095</v>
      </c>
      <c r="I106" t="s">
        <v>672</v>
      </c>
      <c r="J106" t="s">
        <v>676</v>
      </c>
      <c r="K106" t="s">
        <v>677</v>
      </c>
      <c r="L106" t="s">
        <v>672</v>
      </c>
      <c r="M106" t="s">
        <v>672</v>
      </c>
      <c r="N106" t="s">
        <v>672</v>
      </c>
      <c r="O106" t="s">
        <v>692</v>
      </c>
      <c r="P106" t="s">
        <v>672</v>
      </c>
      <c r="Q106" t="s">
        <v>672</v>
      </c>
      <c r="R106" t="s">
        <v>672</v>
      </c>
      <c r="S106">
        <v>505074836</v>
      </c>
      <c r="T106">
        <v>54</v>
      </c>
      <c r="U106" t="s">
        <v>673</v>
      </c>
      <c r="V106" t="s">
        <v>672</v>
      </c>
      <c r="W106" t="s">
        <v>672</v>
      </c>
      <c r="X106" t="s">
        <v>1093</v>
      </c>
      <c r="Y106" t="s">
        <v>672</v>
      </c>
      <c r="Z106" t="s">
        <v>2144</v>
      </c>
      <c r="AA106">
        <v>1</v>
      </c>
      <c r="AB106" t="s">
        <v>672</v>
      </c>
      <c r="AC106" t="s">
        <v>672</v>
      </c>
      <c r="AD106" t="s">
        <v>672</v>
      </c>
      <c r="AE106" t="s">
        <v>672</v>
      </c>
      <c r="AF106" t="s">
        <v>672</v>
      </c>
      <c r="AG106" t="s">
        <v>672</v>
      </c>
      <c r="AH106" t="s">
        <v>672</v>
      </c>
      <c r="AI106" t="s">
        <v>672</v>
      </c>
      <c r="AJ106" t="s">
        <v>672</v>
      </c>
      <c r="AK106" t="s">
        <v>672</v>
      </c>
      <c r="AL106" t="s">
        <v>672</v>
      </c>
      <c r="AM106" t="s">
        <v>672</v>
      </c>
      <c r="AN106" t="s">
        <v>672</v>
      </c>
      <c r="AO106" t="s">
        <v>672</v>
      </c>
      <c r="AP106">
        <v>3</v>
      </c>
      <c r="AQ106">
        <v>1</v>
      </c>
      <c r="AR106" t="s">
        <v>672</v>
      </c>
      <c r="AS106">
        <v>1</v>
      </c>
      <c r="AT106">
        <v>1</v>
      </c>
    </row>
    <row r="107" spans="1:46">
      <c r="A107" t="s">
        <v>636</v>
      </c>
      <c r="B107">
        <v>107</v>
      </c>
      <c r="C107" t="s">
        <v>1096</v>
      </c>
      <c r="D107" t="s">
        <v>672</v>
      </c>
      <c r="E107" t="s">
        <v>672</v>
      </c>
      <c r="F107" t="s">
        <v>672</v>
      </c>
      <c r="G107" t="s">
        <v>1098</v>
      </c>
      <c r="H107" t="s">
        <v>1099</v>
      </c>
      <c r="I107" t="s">
        <v>672</v>
      </c>
      <c r="J107" t="s">
        <v>676</v>
      </c>
      <c r="K107" t="s">
        <v>677</v>
      </c>
      <c r="L107" t="s">
        <v>672</v>
      </c>
      <c r="M107" t="s">
        <v>672</v>
      </c>
      <c r="N107" t="s">
        <v>672</v>
      </c>
      <c r="O107" t="s">
        <v>687</v>
      </c>
      <c r="P107" t="s">
        <v>672</v>
      </c>
      <c r="Q107" t="s">
        <v>672</v>
      </c>
      <c r="R107" t="s">
        <v>672</v>
      </c>
      <c r="T107">
        <v>54</v>
      </c>
      <c r="U107" t="s">
        <v>673</v>
      </c>
      <c r="V107" t="s">
        <v>672</v>
      </c>
      <c r="W107" t="s">
        <v>672</v>
      </c>
      <c r="X107" t="s">
        <v>1097</v>
      </c>
      <c r="Y107" t="s">
        <v>672</v>
      </c>
      <c r="Z107" s="1">
        <v>44224</v>
      </c>
      <c r="AA107">
        <v>1</v>
      </c>
      <c r="AB107" t="s">
        <v>672</v>
      </c>
      <c r="AC107" t="s">
        <v>672</v>
      </c>
      <c r="AD107" t="s">
        <v>672</v>
      </c>
      <c r="AE107" t="s">
        <v>672</v>
      </c>
      <c r="AF107" t="s">
        <v>672</v>
      </c>
      <c r="AG107" t="s">
        <v>672</v>
      </c>
      <c r="AH107" t="s">
        <v>672</v>
      </c>
      <c r="AI107" t="s">
        <v>672</v>
      </c>
      <c r="AJ107" t="s">
        <v>672</v>
      </c>
      <c r="AK107" t="s">
        <v>672</v>
      </c>
      <c r="AL107" t="s">
        <v>672</v>
      </c>
      <c r="AM107" t="s">
        <v>672</v>
      </c>
      <c r="AN107" t="s">
        <v>672</v>
      </c>
      <c r="AO107" t="s">
        <v>672</v>
      </c>
      <c r="AP107">
        <v>3</v>
      </c>
      <c r="AQ107">
        <v>1</v>
      </c>
      <c r="AR107" t="s">
        <v>672</v>
      </c>
      <c r="AS107">
        <v>1</v>
      </c>
      <c r="AT107">
        <v>1</v>
      </c>
    </row>
    <row r="108" spans="1:46">
      <c r="A108" t="s">
        <v>622</v>
      </c>
      <c r="B108">
        <v>108</v>
      </c>
      <c r="C108" t="s">
        <v>1100</v>
      </c>
      <c r="D108" t="s">
        <v>672</v>
      </c>
      <c r="E108" t="s">
        <v>672</v>
      </c>
      <c r="F108" t="s">
        <v>672</v>
      </c>
      <c r="G108" t="s">
        <v>1102</v>
      </c>
      <c r="H108" t="s">
        <v>1103</v>
      </c>
      <c r="I108" t="s">
        <v>672</v>
      </c>
      <c r="J108" t="s">
        <v>676</v>
      </c>
      <c r="K108" t="s">
        <v>677</v>
      </c>
      <c r="L108" t="s">
        <v>672</v>
      </c>
      <c r="M108" t="s">
        <v>672</v>
      </c>
      <c r="N108" t="s">
        <v>672</v>
      </c>
      <c r="O108" t="s">
        <v>705</v>
      </c>
      <c r="P108" t="s">
        <v>672</v>
      </c>
      <c r="Q108" t="s">
        <v>672</v>
      </c>
      <c r="R108" t="s">
        <v>672</v>
      </c>
      <c r="S108">
        <v>505994154</v>
      </c>
      <c r="T108">
        <v>54</v>
      </c>
      <c r="U108" t="s">
        <v>673</v>
      </c>
      <c r="V108" t="s">
        <v>672</v>
      </c>
      <c r="W108" t="s">
        <v>672</v>
      </c>
      <c r="X108" t="s">
        <v>1101</v>
      </c>
      <c r="Y108" t="s">
        <v>672</v>
      </c>
      <c r="Z108" s="1">
        <v>44208</v>
      </c>
      <c r="AA108">
        <v>1</v>
      </c>
      <c r="AB108" t="s">
        <v>672</v>
      </c>
      <c r="AC108" t="s">
        <v>672</v>
      </c>
      <c r="AD108" t="s">
        <v>672</v>
      </c>
      <c r="AE108" t="s">
        <v>672</v>
      </c>
      <c r="AF108" t="s">
        <v>672</v>
      </c>
      <c r="AG108" t="s">
        <v>672</v>
      </c>
      <c r="AH108" t="s">
        <v>672</v>
      </c>
      <c r="AI108" t="s">
        <v>672</v>
      </c>
      <c r="AJ108" t="s">
        <v>672</v>
      </c>
      <c r="AK108" t="s">
        <v>672</v>
      </c>
      <c r="AL108" t="s">
        <v>672</v>
      </c>
      <c r="AM108" t="s">
        <v>672</v>
      </c>
      <c r="AN108" t="s">
        <v>672</v>
      </c>
      <c r="AO108" t="s">
        <v>672</v>
      </c>
      <c r="AP108">
        <v>3</v>
      </c>
      <c r="AQ108">
        <v>1</v>
      </c>
      <c r="AR108" t="s">
        <v>672</v>
      </c>
      <c r="AS108">
        <v>1</v>
      </c>
      <c r="AT108">
        <v>1</v>
      </c>
    </row>
    <row r="109" spans="1:46">
      <c r="A109" t="s">
        <v>1105</v>
      </c>
      <c r="B109">
        <v>109</v>
      </c>
      <c r="C109" t="s">
        <v>1104</v>
      </c>
      <c r="D109" t="s">
        <v>672</v>
      </c>
      <c r="E109" t="s">
        <v>672</v>
      </c>
      <c r="F109" t="s">
        <v>672</v>
      </c>
      <c r="G109" t="s">
        <v>1106</v>
      </c>
      <c r="H109" t="s">
        <v>1107</v>
      </c>
      <c r="I109" t="s">
        <v>672</v>
      </c>
      <c r="J109" t="s">
        <v>676</v>
      </c>
      <c r="K109" t="s">
        <v>677</v>
      </c>
      <c r="L109" t="s">
        <v>672</v>
      </c>
      <c r="M109" t="s">
        <v>672</v>
      </c>
      <c r="N109" t="s">
        <v>672</v>
      </c>
      <c r="O109" t="s">
        <v>705</v>
      </c>
      <c r="P109" t="s">
        <v>672</v>
      </c>
      <c r="Q109" t="s">
        <v>672</v>
      </c>
      <c r="R109" t="s">
        <v>672</v>
      </c>
      <c r="T109">
        <v>54</v>
      </c>
      <c r="U109" t="s">
        <v>673</v>
      </c>
      <c r="V109" t="s">
        <v>672</v>
      </c>
      <c r="W109" t="s">
        <v>672</v>
      </c>
      <c r="Y109" t="s">
        <v>672</v>
      </c>
      <c r="Z109" s="1">
        <v>43851</v>
      </c>
      <c r="AA109">
        <v>1</v>
      </c>
      <c r="AB109" t="s">
        <v>672</v>
      </c>
      <c r="AC109" t="s">
        <v>672</v>
      </c>
      <c r="AD109" t="s">
        <v>672</v>
      </c>
      <c r="AE109" t="s">
        <v>672</v>
      </c>
      <c r="AF109" t="s">
        <v>672</v>
      </c>
      <c r="AG109" t="s">
        <v>672</v>
      </c>
      <c r="AH109" t="s">
        <v>672</v>
      </c>
      <c r="AI109" t="s">
        <v>672</v>
      </c>
      <c r="AJ109" t="s">
        <v>672</v>
      </c>
      <c r="AK109" t="s">
        <v>672</v>
      </c>
      <c r="AL109" t="s">
        <v>672</v>
      </c>
      <c r="AM109" t="s">
        <v>672</v>
      </c>
      <c r="AN109" t="s">
        <v>672</v>
      </c>
      <c r="AO109" t="s">
        <v>672</v>
      </c>
      <c r="AP109">
        <v>3</v>
      </c>
      <c r="AQ109">
        <v>1</v>
      </c>
      <c r="AR109" t="s">
        <v>672</v>
      </c>
      <c r="AS109">
        <v>1</v>
      </c>
      <c r="AT109">
        <v>1</v>
      </c>
    </row>
    <row r="110" spans="1:46">
      <c r="A110" t="s">
        <v>606</v>
      </c>
      <c r="B110">
        <v>110</v>
      </c>
      <c r="C110" t="s">
        <v>607</v>
      </c>
      <c r="D110" t="s">
        <v>672</v>
      </c>
      <c r="E110" t="s">
        <v>672</v>
      </c>
      <c r="F110" t="s">
        <v>672</v>
      </c>
      <c r="G110" t="s">
        <v>1109</v>
      </c>
      <c r="H110" t="s">
        <v>1110</v>
      </c>
      <c r="I110" t="s">
        <v>672</v>
      </c>
      <c r="J110" t="s">
        <v>676</v>
      </c>
      <c r="K110" t="s">
        <v>677</v>
      </c>
      <c r="L110" t="s">
        <v>672</v>
      </c>
      <c r="M110" t="s">
        <v>672</v>
      </c>
      <c r="N110" t="s">
        <v>672</v>
      </c>
      <c r="O110" t="s">
        <v>705</v>
      </c>
      <c r="P110" t="s">
        <v>672</v>
      </c>
      <c r="Q110" t="s">
        <v>672</v>
      </c>
      <c r="R110" t="s">
        <v>672</v>
      </c>
      <c r="S110">
        <v>709155178</v>
      </c>
      <c r="T110">
        <v>54</v>
      </c>
      <c r="U110" t="s">
        <v>673</v>
      </c>
      <c r="V110" t="s">
        <v>672</v>
      </c>
      <c r="W110" t="s">
        <v>672</v>
      </c>
      <c r="X110" t="s">
        <v>1108</v>
      </c>
      <c r="Y110" t="s">
        <v>672</v>
      </c>
      <c r="Z110" s="1">
        <v>44209</v>
      </c>
      <c r="AA110">
        <v>1</v>
      </c>
      <c r="AB110" t="s">
        <v>672</v>
      </c>
      <c r="AC110" t="s">
        <v>672</v>
      </c>
      <c r="AD110" t="s">
        <v>672</v>
      </c>
      <c r="AE110" t="s">
        <v>672</v>
      </c>
      <c r="AF110" t="s">
        <v>672</v>
      </c>
      <c r="AG110" t="s">
        <v>672</v>
      </c>
      <c r="AH110" t="s">
        <v>672</v>
      </c>
      <c r="AI110" t="s">
        <v>672</v>
      </c>
      <c r="AJ110" t="s">
        <v>672</v>
      </c>
      <c r="AK110" t="s">
        <v>672</v>
      </c>
      <c r="AL110" t="s">
        <v>672</v>
      </c>
      <c r="AM110" t="s">
        <v>672</v>
      </c>
      <c r="AN110" t="s">
        <v>672</v>
      </c>
      <c r="AO110" t="s">
        <v>672</v>
      </c>
      <c r="AP110">
        <v>3</v>
      </c>
      <c r="AQ110">
        <v>1</v>
      </c>
      <c r="AR110" t="s">
        <v>672</v>
      </c>
      <c r="AS110">
        <v>1</v>
      </c>
      <c r="AT110">
        <v>1</v>
      </c>
    </row>
    <row r="111" spans="1:46">
      <c r="A111" t="s">
        <v>600</v>
      </c>
      <c r="B111">
        <v>111</v>
      </c>
      <c r="C111" t="s">
        <v>601</v>
      </c>
      <c r="D111" t="s">
        <v>672</v>
      </c>
      <c r="E111" t="s">
        <v>672</v>
      </c>
      <c r="F111" t="s">
        <v>672</v>
      </c>
      <c r="G111" t="s">
        <v>1112</v>
      </c>
      <c r="H111" t="s">
        <v>1113</v>
      </c>
      <c r="I111" t="s">
        <v>672</v>
      </c>
      <c r="J111" t="s">
        <v>676</v>
      </c>
      <c r="K111" t="s">
        <v>677</v>
      </c>
      <c r="L111" t="s">
        <v>672</v>
      </c>
      <c r="M111" t="s">
        <v>672</v>
      </c>
      <c r="N111" t="s">
        <v>672</v>
      </c>
      <c r="O111" t="s">
        <v>742</v>
      </c>
      <c r="P111" t="s">
        <v>672</v>
      </c>
      <c r="Q111" t="s">
        <v>672</v>
      </c>
      <c r="R111" t="s">
        <v>672</v>
      </c>
      <c r="S111">
        <v>707041477</v>
      </c>
      <c r="T111">
        <v>54</v>
      </c>
      <c r="U111" t="s">
        <v>673</v>
      </c>
      <c r="V111" t="s">
        <v>672</v>
      </c>
      <c r="W111" t="s">
        <v>672</v>
      </c>
      <c r="X111" t="s">
        <v>1111</v>
      </c>
      <c r="Y111" t="s">
        <v>672</v>
      </c>
      <c r="Z111" s="1">
        <v>44224</v>
      </c>
      <c r="AA111">
        <v>1</v>
      </c>
      <c r="AB111" t="s">
        <v>672</v>
      </c>
      <c r="AC111" t="s">
        <v>672</v>
      </c>
      <c r="AD111" t="s">
        <v>672</v>
      </c>
      <c r="AE111" t="s">
        <v>672</v>
      </c>
      <c r="AF111" t="s">
        <v>672</v>
      </c>
      <c r="AG111" t="s">
        <v>672</v>
      </c>
      <c r="AH111" t="s">
        <v>672</v>
      </c>
      <c r="AI111" t="s">
        <v>672</v>
      </c>
      <c r="AJ111" t="s">
        <v>672</v>
      </c>
      <c r="AK111" t="s">
        <v>672</v>
      </c>
      <c r="AL111" t="s">
        <v>672</v>
      </c>
      <c r="AM111" t="s">
        <v>672</v>
      </c>
      <c r="AN111" t="s">
        <v>672</v>
      </c>
      <c r="AO111" t="s">
        <v>672</v>
      </c>
      <c r="AP111">
        <v>3</v>
      </c>
      <c r="AQ111">
        <v>1</v>
      </c>
      <c r="AR111" t="s">
        <v>672</v>
      </c>
      <c r="AS111">
        <v>1</v>
      </c>
      <c r="AT111">
        <v>1</v>
      </c>
    </row>
    <row r="112" spans="1:46">
      <c r="A112" t="s">
        <v>484</v>
      </c>
      <c r="B112">
        <v>112</v>
      </c>
      <c r="C112" t="s">
        <v>1114</v>
      </c>
      <c r="D112" t="s">
        <v>672</v>
      </c>
      <c r="E112" t="s">
        <v>672</v>
      </c>
      <c r="F112" t="s">
        <v>672</v>
      </c>
      <c r="G112" t="s">
        <v>1115</v>
      </c>
      <c r="H112" t="s">
        <v>1116</v>
      </c>
      <c r="I112" t="s">
        <v>672</v>
      </c>
      <c r="J112" t="s">
        <v>676</v>
      </c>
      <c r="K112" t="s">
        <v>677</v>
      </c>
      <c r="L112" t="s">
        <v>672</v>
      </c>
      <c r="M112" t="s">
        <v>672</v>
      </c>
      <c r="N112" t="s">
        <v>672</v>
      </c>
      <c r="O112" t="s">
        <v>705</v>
      </c>
      <c r="P112" t="s">
        <v>672</v>
      </c>
      <c r="Q112" t="s">
        <v>672</v>
      </c>
      <c r="R112" t="s">
        <v>672</v>
      </c>
      <c r="S112">
        <v>709092095</v>
      </c>
      <c r="T112">
        <v>54</v>
      </c>
      <c r="U112" t="s">
        <v>673</v>
      </c>
      <c r="V112" t="s">
        <v>672</v>
      </c>
      <c r="W112" t="s">
        <v>672</v>
      </c>
      <c r="X112" t="s">
        <v>2147</v>
      </c>
      <c r="Y112" t="s">
        <v>672</v>
      </c>
      <c r="Z112" s="1">
        <v>44212</v>
      </c>
      <c r="AA112">
        <v>1</v>
      </c>
      <c r="AB112" t="s">
        <v>672</v>
      </c>
      <c r="AC112" t="s">
        <v>672</v>
      </c>
      <c r="AD112" t="s">
        <v>672</v>
      </c>
      <c r="AE112" t="s">
        <v>672</v>
      </c>
      <c r="AF112" t="s">
        <v>672</v>
      </c>
      <c r="AG112" t="s">
        <v>672</v>
      </c>
      <c r="AH112" t="s">
        <v>672</v>
      </c>
      <c r="AI112" t="s">
        <v>672</v>
      </c>
      <c r="AJ112" t="s">
        <v>672</v>
      </c>
      <c r="AK112" t="s">
        <v>672</v>
      </c>
      <c r="AL112" t="s">
        <v>672</v>
      </c>
      <c r="AM112" t="s">
        <v>672</v>
      </c>
      <c r="AN112" t="s">
        <v>672</v>
      </c>
      <c r="AO112" t="s">
        <v>672</v>
      </c>
      <c r="AP112">
        <v>3</v>
      </c>
      <c r="AQ112">
        <v>1</v>
      </c>
      <c r="AR112" t="s">
        <v>672</v>
      </c>
      <c r="AS112">
        <v>1</v>
      </c>
      <c r="AT112">
        <v>1</v>
      </c>
    </row>
    <row r="113" spans="1:46">
      <c r="A113" t="s">
        <v>596</v>
      </c>
      <c r="B113">
        <v>113</v>
      </c>
      <c r="C113" t="s">
        <v>597</v>
      </c>
      <c r="D113" t="s">
        <v>672</v>
      </c>
      <c r="E113" t="s">
        <v>672</v>
      </c>
      <c r="F113" t="s">
        <v>672</v>
      </c>
      <c r="G113" t="s">
        <v>1118</v>
      </c>
      <c r="H113" t="s">
        <v>1119</v>
      </c>
      <c r="I113" t="s">
        <v>672</v>
      </c>
      <c r="J113" t="s">
        <v>676</v>
      </c>
      <c r="K113" t="s">
        <v>677</v>
      </c>
      <c r="L113" t="s">
        <v>672</v>
      </c>
      <c r="M113" t="s">
        <v>672</v>
      </c>
      <c r="N113" t="s">
        <v>672</v>
      </c>
      <c r="O113" t="s">
        <v>798</v>
      </c>
      <c r="P113" t="s">
        <v>672</v>
      </c>
      <c r="Q113" t="s">
        <v>672</v>
      </c>
      <c r="R113" t="s">
        <v>672</v>
      </c>
      <c r="S113">
        <v>707275282</v>
      </c>
      <c r="T113">
        <v>54</v>
      </c>
      <c r="U113" t="s">
        <v>673</v>
      </c>
      <c r="V113" t="s">
        <v>672</v>
      </c>
      <c r="W113" t="s">
        <v>672</v>
      </c>
      <c r="X113" t="s">
        <v>1117</v>
      </c>
      <c r="Y113" t="s">
        <v>672</v>
      </c>
      <c r="Z113" s="1">
        <v>43901</v>
      </c>
      <c r="AA113">
        <v>1</v>
      </c>
      <c r="AB113" t="s">
        <v>672</v>
      </c>
      <c r="AC113" t="s">
        <v>672</v>
      </c>
      <c r="AD113" t="s">
        <v>672</v>
      </c>
      <c r="AE113" t="s">
        <v>672</v>
      </c>
      <c r="AF113" t="s">
        <v>672</v>
      </c>
      <c r="AG113" t="s">
        <v>672</v>
      </c>
      <c r="AH113" t="s">
        <v>672</v>
      </c>
      <c r="AI113" t="s">
        <v>672</v>
      </c>
      <c r="AJ113" t="s">
        <v>672</v>
      </c>
      <c r="AK113" t="s">
        <v>672</v>
      </c>
      <c r="AL113" t="s">
        <v>672</v>
      </c>
      <c r="AM113" t="s">
        <v>672</v>
      </c>
      <c r="AN113" t="s">
        <v>672</v>
      </c>
      <c r="AO113" t="s">
        <v>672</v>
      </c>
      <c r="AP113">
        <v>3</v>
      </c>
      <c r="AQ113">
        <v>1</v>
      </c>
      <c r="AR113" t="s">
        <v>672</v>
      </c>
      <c r="AS113">
        <v>1</v>
      </c>
      <c r="AT113">
        <v>1</v>
      </c>
    </row>
    <row r="114" spans="1:46">
      <c r="A114" t="s">
        <v>594</v>
      </c>
      <c r="B114">
        <v>114</v>
      </c>
      <c r="C114" t="s">
        <v>595</v>
      </c>
      <c r="D114" t="s">
        <v>672</v>
      </c>
      <c r="E114" t="s">
        <v>672</v>
      </c>
      <c r="F114" t="s">
        <v>672</v>
      </c>
      <c r="G114" t="s">
        <v>1121</v>
      </c>
      <c r="H114" t="s">
        <v>1122</v>
      </c>
      <c r="I114" t="s">
        <v>672</v>
      </c>
      <c r="J114" t="s">
        <v>704</v>
      </c>
      <c r="K114" t="s">
        <v>712</v>
      </c>
      <c r="L114" t="s">
        <v>672</v>
      </c>
      <c r="M114" t="s">
        <v>672</v>
      </c>
      <c r="N114" t="s">
        <v>672</v>
      </c>
      <c r="O114" t="s">
        <v>678</v>
      </c>
      <c r="P114" t="s">
        <v>672</v>
      </c>
      <c r="Q114" t="s">
        <v>672</v>
      </c>
      <c r="R114" t="s">
        <v>672</v>
      </c>
      <c r="S114">
        <v>506532640</v>
      </c>
      <c r="T114">
        <v>54</v>
      </c>
      <c r="U114" t="s">
        <v>673</v>
      </c>
      <c r="V114" t="s">
        <v>672</v>
      </c>
      <c r="W114" t="s">
        <v>672</v>
      </c>
      <c r="X114" t="s">
        <v>1120</v>
      </c>
      <c r="Y114" t="s">
        <v>672</v>
      </c>
      <c r="Z114" s="1">
        <v>44589</v>
      </c>
      <c r="AA114">
        <v>1</v>
      </c>
      <c r="AB114" t="s">
        <v>672</v>
      </c>
      <c r="AC114" t="s">
        <v>672</v>
      </c>
      <c r="AD114" t="s">
        <v>672</v>
      </c>
      <c r="AE114" t="s">
        <v>672</v>
      </c>
      <c r="AF114" t="s">
        <v>672</v>
      </c>
      <c r="AG114" t="s">
        <v>672</v>
      </c>
      <c r="AH114" t="s">
        <v>672</v>
      </c>
      <c r="AI114" t="s">
        <v>672</v>
      </c>
      <c r="AJ114" t="s">
        <v>672</v>
      </c>
      <c r="AK114" t="s">
        <v>672</v>
      </c>
      <c r="AL114" t="s">
        <v>672</v>
      </c>
      <c r="AM114" t="s">
        <v>672</v>
      </c>
      <c r="AN114" t="s">
        <v>672</v>
      </c>
      <c r="AO114" t="s">
        <v>672</v>
      </c>
      <c r="AP114">
        <v>3</v>
      </c>
      <c r="AQ114">
        <v>1</v>
      </c>
      <c r="AR114" t="s">
        <v>672</v>
      </c>
      <c r="AS114">
        <v>1</v>
      </c>
      <c r="AT114">
        <v>1</v>
      </c>
    </row>
    <row r="115" spans="1:46">
      <c r="A115" t="s">
        <v>566</v>
      </c>
      <c r="B115">
        <v>115</v>
      </c>
      <c r="C115" t="s">
        <v>567</v>
      </c>
      <c r="D115" t="s">
        <v>672</v>
      </c>
      <c r="E115" t="s">
        <v>672</v>
      </c>
      <c r="F115" t="s">
        <v>672</v>
      </c>
      <c r="G115" t="s">
        <v>1124</v>
      </c>
      <c r="H115" t="s">
        <v>1125</v>
      </c>
      <c r="I115" t="s">
        <v>672</v>
      </c>
      <c r="J115" t="s">
        <v>704</v>
      </c>
      <c r="K115" t="s">
        <v>677</v>
      </c>
      <c r="L115" t="s">
        <v>672</v>
      </c>
      <c r="M115" t="s">
        <v>672</v>
      </c>
      <c r="N115" t="s">
        <v>672</v>
      </c>
      <c r="O115" t="s">
        <v>705</v>
      </c>
      <c r="P115" t="s">
        <v>672</v>
      </c>
      <c r="Q115" t="s">
        <v>672</v>
      </c>
      <c r="R115" t="s">
        <v>672</v>
      </c>
      <c r="S115">
        <v>747417993</v>
      </c>
      <c r="T115">
        <v>54</v>
      </c>
      <c r="U115" t="s">
        <v>673</v>
      </c>
      <c r="V115" t="s">
        <v>672</v>
      </c>
      <c r="W115" t="s">
        <v>672</v>
      </c>
      <c r="X115" t="s">
        <v>1123</v>
      </c>
      <c r="Y115" t="s">
        <v>672</v>
      </c>
      <c r="Z115" s="1">
        <v>44592</v>
      </c>
      <c r="AA115">
        <v>1</v>
      </c>
      <c r="AB115" t="s">
        <v>672</v>
      </c>
      <c r="AC115" t="s">
        <v>672</v>
      </c>
      <c r="AD115" t="s">
        <v>672</v>
      </c>
      <c r="AE115" t="s">
        <v>672</v>
      </c>
      <c r="AF115" t="s">
        <v>672</v>
      </c>
      <c r="AG115" t="s">
        <v>672</v>
      </c>
      <c r="AH115" t="s">
        <v>672</v>
      </c>
      <c r="AI115" t="s">
        <v>672</v>
      </c>
      <c r="AJ115" t="s">
        <v>672</v>
      </c>
      <c r="AK115" t="s">
        <v>672</v>
      </c>
      <c r="AL115" t="s">
        <v>672</v>
      </c>
      <c r="AM115" t="s">
        <v>672</v>
      </c>
      <c r="AN115" t="s">
        <v>672</v>
      </c>
      <c r="AO115" t="s">
        <v>672</v>
      </c>
      <c r="AP115">
        <v>3</v>
      </c>
      <c r="AQ115">
        <v>1</v>
      </c>
      <c r="AR115" t="s">
        <v>672</v>
      </c>
      <c r="AS115">
        <v>1</v>
      </c>
      <c r="AT115">
        <v>1</v>
      </c>
    </row>
    <row r="116" spans="1:46">
      <c r="A116" t="s">
        <v>1126</v>
      </c>
      <c r="B116">
        <v>116</v>
      </c>
      <c r="C116" t="s">
        <v>537</v>
      </c>
      <c r="D116" t="s">
        <v>672</v>
      </c>
      <c r="E116" t="s">
        <v>672</v>
      </c>
      <c r="F116" t="s">
        <v>672</v>
      </c>
      <c r="G116" t="s">
        <v>1127</v>
      </c>
      <c r="H116" t="s">
        <v>1128</v>
      </c>
      <c r="I116" t="s">
        <v>672</v>
      </c>
      <c r="J116" t="s">
        <v>704</v>
      </c>
      <c r="K116" t="s">
        <v>677</v>
      </c>
      <c r="L116" t="s">
        <v>672</v>
      </c>
      <c r="M116" t="s">
        <v>672</v>
      </c>
      <c r="N116" t="s">
        <v>672</v>
      </c>
      <c r="O116" t="s">
        <v>705</v>
      </c>
      <c r="P116" t="s">
        <v>672</v>
      </c>
      <c r="Q116" t="s">
        <v>672</v>
      </c>
      <c r="R116" t="s">
        <v>672</v>
      </c>
      <c r="S116">
        <v>757261343</v>
      </c>
      <c r="T116">
        <v>54</v>
      </c>
      <c r="U116" t="s">
        <v>673</v>
      </c>
      <c r="V116" t="s">
        <v>672</v>
      </c>
      <c r="W116" t="s">
        <v>672</v>
      </c>
      <c r="X116" t="s">
        <v>852</v>
      </c>
      <c r="Y116" t="s">
        <v>672</v>
      </c>
      <c r="Z116" s="1">
        <v>44224</v>
      </c>
      <c r="AA116">
        <v>1</v>
      </c>
      <c r="AB116" t="s">
        <v>672</v>
      </c>
      <c r="AC116" t="s">
        <v>672</v>
      </c>
      <c r="AD116" t="s">
        <v>672</v>
      </c>
      <c r="AE116" t="s">
        <v>672</v>
      </c>
      <c r="AF116" t="s">
        <v>672</v>
      </c>
      <c r="AG116" t="s">
        <v>672</v>
      </c>
      <c r="AH116" t="s">
        <v>672</v>
      </c>
      <c r="AI116" t="s">
        <v>672</v>
      </c>
      <c r="AJ116" t="s">
        <v>672</v>
      </c>
      <c r="AK116" t="s">
        <v>672</v>
      </c>
      <c r="AL116" t="s">
        <v>672</v>
      </c>
      <c r="AM116" t="s">
        <v>672</v>
      </c>
      <c r="AN116" t="s">
        <v>672</v>
      </c>
      <c r="AO116" t="s">
        <v>672</v>
      </c>
      <c r="AP116">
        <v>3</v>
      </c>
      <c r="AQ116">
        <v>1</v>
      </c>
      <c r="AR116" t="s">
        <v>672</v>
      </c>
      <c r="AS116">
        <v>1</v>
      </c>
      <c r="AT116">
        <v>1</v>
      </c>
    </row>
    <row r="117" spans="1:46">
      <c r="A117" t="s">
        <v>488</v>
      </c>
      <c r="B117">
        <v>117</v>
      </c>
      <c r="C117" t="s">
        <v>1129</v>
      </c>
      <c r="D117" t="s">
        <v>672</v>
      </c>
      <c r="E117" t="s">
        <v>672</v>
      </c>
      <c r="F117" t="s">
        <v>672</v>
      </c>
      <c r="G117" t="s">
        <v>1131</v>
      </c>
      <c r="H117" t="s">
        <v>1132</v>
      </c>
      <c r="I117" t="s">
        <v>672</v>
      </c>
      <c r="J117" t="s">
        <v>676</v>
      </c>
      <c r="K117" t="s">
        <v>677</v>
      </c>
      <c r="L117" t="s">
        <v>672</v>
      </c>
      <c r="M117" t="s">
        <v>672</v>
      </c>
      <c r="N117" t="s">
        <v>672</v>
      </c>
      <c r="O117" t="s">
        <v>705</v>
      </c>
      <c r="P117" t="s">
        <v>672</v>
      </c>
      <c r="Q117" t="s">
        <v>672</v>
      </c>
      <c r="R117" t="s">
        <v>672</v>
      </c>
      <c r="S117">
        <v>707803420</v>
      </c>
      <c r="T117">
        <v>54</v>
      </c>
      <c r="U117" t="s">
        <v>673</v>
      </c>
      <c r="V117" t="s">
        <v>672</v>
      </c>
      <c r="W117" t="s">
        <v>672</v>
      </c>
      <c r="X117" t="s">
        <v>1130</v>
      </c>
      <c r="Y117" t="s">
        <v>672</v>
      </c>
      <c r="Z117" s="1">
        <v>43851</v>
      </c>
      <c r="AA117">
        <v>1</v>
      </c>
      <c r="AB117" t="s">
        <v>672</v>
      </c>
      <c r="AC117" t="s">
        <v>672</v>
      </c>
      <c r="AD117" t="s">
        <v>672</v>
      </c>
      <c r="AE117" t="s">
        <v>672</v>
      </c>
      <c r="AF117" t="s">
        <v>672</v>
      </c>
      <c r="AG117" t="s">
        <v>672</v>
      </c>
      <c r="AH117" t="s">
        <v>672</v>
      </c>
      <c r="AI117" t="s">
        <v>672</v>
      </c>
      <c r="AJ117" t="s">
        <v>672</v>
      </c>
      <c r="AK117" t="s">
        <v>672</v>
      </c>
      <c r="AL117" t="s">
        <v>672</v>
      </c>
      <c r="AM117" t="s">
        <v>672</v>
      </c>
      <c r="AN117" t="s">
        <v>672</v>
      </c>
      <c r="AO117" t="s">
        <v>672</v>
      </c>
      <c r="AP117">
        <v>3</v>
      </c>
      <c r="AQ117">
        <v>1</v>
      </c>
      <c r="AR117" t="s">
        <v>672</v>
      </c>
      <c r="AS117">
        <v>1</v>
      </c>
      <c r="AT117">
        <v>1</v>
      </c>
    </row>
    <row r="118" spans="1:46">
      <c r="A118" t="s">
        <v>486</v>
      </c>
      <c r="B118">
        <v>118</v>
      </c>
      <c r="C118" t="s">
        <v>487</v>
      </c>
      <c r="D118" t="s">
        <v>672</v>
      </c>
      <c r="E118" t="s">
        <v>672</v>
      </c>
      <c r="F118" t="s">
        <v>672</v>
      </c>
      <c r="G118" t="s">
        <v>1133</v>
      </c>
      <c r="H118" t="s">
        <v>1134</v>
      </c>
      <c r="I118" t="s">
        <v>672</v>
      </c>
      <c r="J118" t="s">
        <v>676</v>
      </c>
      <c r="K118" t="s">
        <v>1135</v>
      </c>
      <c r="L118" t="s">
        <v>672</v>
      </c>
      <c r="M118" t="s">
        <v>672</v>
      </c>
      <c r="N118" t="s">
        <v>672</v>
      </c>
      <c r="O118" t="s">
        <v>705</v>
      </c>
      <c r="P118" t="s">
        <v>672</v>
      </c>
      <c r="Q118" t="s">
        <v>672</v>
      </c>
      <c r="R118" t="s">
        <v>672</v>
      </c>
      <c r="S118">
        <v>747439538</v>
      </c>
      <c r="T118">
        <v>54</v>
      </c>
      <c r="U118" t="s">
        <v>673</v>
      </c>
      <c r="V118" t="s">
        <v>672</v>
      </c>
      <c r="W118" t="s">
        <v>672</v>
      </c>
      <c r="X118" t="s">
        <v>1079</v>
      </c>
      <c r="Y118" t="s">
        <v>672</v>
      </c>
      <c r="Z118" s="1">
        <v>44760</v>
      </c>
      <c r="AA118">
        <v>1</v>
      </c>
      <c r="AB118" t="s">
        <v>672</v>
      </c>
      <c r="AC118" t="s">
        <v>672</v>
      </c>
      <c r="AD118" t="s">
        <v>672</v>
      </c>
      <c r="AE118" t="s">
        <v>672</v>
      </c>
      <c r="AF118" t="s">
        <v>672</v>
      </c>
      <c r="AG118" t="s">
        <v>672</v>
      </c>
      <c r="AH118" t="s">
        <v>672</v>
      </c>
      <c r="AI118" t="s">
        <v>672</v>
      </c>
      <c r="AJ118" t="s">
        <v>672</v>
      </c>
      <c r="AK118" t="s">
        <v>672</v>
      </c>
      <c r="AL118" t="s">
        <v>672</v>
      </c>
      <c r="AM118" t="s">
        <v>672</v>
      </c>
      <c r="AN118" t="s">
        <v>672</v>
      </c>
      <c r="AO118" t="s">
        <v>672</v>
      </c>
      <c r="AP118">
        <v>3</v>
      </c>
      <c r="AQ118">
        <v>1</v>
      </c>
      <c r="AR118" t="s">
        <v>672</v>
      </c>
      <c r="AS118">
        <v>1</v>
      </c>
      <c r="AT118">
        <v>1</v>
      </c>
    </row>
    <row r="119" spans="1:46">
      <c r="A119" t="s">
        <v>484</v>
      </c>
      <c r="B119">
        <v>119</v>
      </c>
      <c r="C119" t="s">
        <v>485</v>
      </c>
      <c r="D119" t="s">
        <v>672</v>
      </c>
      <c r="E119" t="s">
        <v>672</v>
      </c>
      <c r="F119" t="s">
        <v>672</v>
      </c>
      <c r="G119" t="s">
        <v>1137</v>
      </c>
      <c r="H119" t="s">
        <v>1116</v>
      </c>
      <c r="I119" t="s">
        <v>672</v>
      </c>
      <c r="J119" t="s">
        <v>676</v>
      </c>
      <c r="K119" t="s">
        <v>677</v>
      </c>
      <c r="L119" t="s">
        <v>672</v>
      </c>
      <c r="M119" t="s">
        <v>672</v>
      </c>
      <c r="N119" t="s">
        <v>672</v>
      </c>
      <c r="O119" t="s">
        <v>705</v>
      </c>
      <c r="P119" t="s">
        <v>672</v>
      </c>
      <c r="Q119" t="s">
        <v>672</v>
      </c>
      <c r="R119" t="s">
        <v>672</v>
      </c>
      <c r="S119">
        <v>707092095</v>
      </c>
      <c r="T119">
        <v>54</v>
      </c>
      <c r="U119" t="s">
        <v>673</v>
      </c>
      <c r="V119" t="s">
        <v>672</v>
      </c>
      <c r="W119" t="s">
        <v>672</v>
      </c>
      <c r="X119" t="s">
        <v>1136</v>
      </c>
      <c r="Y119" t="s">
        <v>672</v>
      </c>
      <c r="Z119" s="1">
        <v>44212</v>
      </c>
      <c r="AA119">
        <v>1</v>
      </c>
      <c r="AB119" t="s">
        <v>672</v>
      </c>
      <c r="AC119" t="s">
        <v>672</v>
      </c>
      <c r="AD119" t="s">
        <v>672</v>
      </c>
      <c r="AE119" t="s">
        <v>672</v>
      </c>
      <c r="AF119" t="s">
        <v>672</v>
      </c>
      <c r="AG119" t="s">
        <v>672</v>
      </c>
      <c r="AH119" t="s">
        <v>672</v>
      </c>
      <c r="AI119" t="s">
        <v>672</v>
      </c>
      <c r="AJ119" t="s">
        <v>672</v>
      </c>
      <c r="AK119" t="s">
        <v>672</v>
      </c>
      <c r="AL119" t="s">
        <v>672</v>
      </c>
      <c r="AM119" t="s">
        <v>672</v>
      </c>
      <c r="AN119" t="s">
        <v>672</v>
      </c>
      <c r="AO119" t="s">
        <v>672</v>
      </c>
      <c r="AP119">
        <v>3</v>
      </c>
      <c r="AQ119">
        <v>1</v>
      </c>
      <c r="AR119" t="s">
        <v>672</v>
      </c>
      <c r="AS119">
        <v>1</v>
      </c>
      <c r="AT119">
        <v>1</v>
      </c>
    </row>
    <row r="120" spans="1:46">
      <c r="A120" t="s">
        <v>520</v>
      </c>
      <c r="B120">
        <v>120</v>
      </c>
      <c r="C120" t="s">
        <v>1138</v>
      </c>
      <c r="D120" t="s">
        <v>672</v>
      </c>
      <c r="E120" t="s">
        <v>672</v>
      </c>
      <c r="F120" t="s">
        <v>672</v>
      </c>
      <c r="G120" t="s">
        <v>1140</v>
      </c>
      <c r="H120" t="s">
        <v>1141</v>
      </c>
      <c r="I120" t="s">
        <v>672</v>
      </c>
      <c r="J120" t="s">
        <v>704</v>
      </c>
      <c r="K120" t="s">
        <v>677</v>
      </c>
      <c r="L120" t="s">
        <v>672</v>
      </c>
      <c r="M120" t="s">
        <v>672</v>
      </c>
      <c r="N120" t="s">
        <v>672</v>
      </c>
      <c r="O120" t="s">
        <v>798</v>
      </c>
      <c r="P120" t="s">
        <v>672</v>
      </c>
      <c r="Q120" t="s">
        <v>672</v>
      </c>
      <c r="R120" t="s">
        <v>672</v>
      </c>
      <c r="S120">
        <v>777746950</v>
      </c>
      <c r="T120">
        <v>54</v>
      </c>
      <c r="U120" t="s">
        <v>673</v>
      </c>
      <c r="V120" t="s">
        <v>672</v>
      </c>
      <c r="W120" t="s">
        <v>672</v>
      </c>
      <c r="X120" t="s">
        <v>1139</v>
      </c>
      <c r="Y120" t="s">
        <v>672</v>
      </c>
      <c r="Z120" s="1">
        <v>43905</v>
      </c>
      <c r="AA120">
        <v>1</v>
      </c>
      <c r="AB120" t="s">
        <v>672</v>
      </c>
      <c r="AC120" t="s">
        <v>672</v>
      </c>
      <c r="AD120" t="s">
        <v>672</v>
      </c>
      <c r="AE120" t="s">
        <v>672</v>
      </c>
      <c r="AF120" t="s">
        <v>672</v>
      </c>
      <c r="AG120" t="s">
        <v>672</v>
      </c>
      <c r="AH120" t="s">
        <v>672</v>
      </c>
      <c r="AI120" t="s">
        <v>672</v>
      </c>
      <c r="AJ120" t="s">
        <v>672</v>
      </c>
      <c r="AK120" t="s">
        <v>672</v>
      </c>
      <c r="AL120" t="s">
        <v>672</v>
      </c>
      <c r="AM120" t="s">
        <v>672</v>
      </c>
      <c r="AN120" t="s">
        <v>672</v>
      </c>
      <c r="AO120" t="s">
        <v>672</v>
      </c>
      <c r="AP120">
        <v>3</v>
      </c>
      <c r="AQ120">
        <v>1</v>
      </c>
      <c r="AR120" t="s">
        <v>672</v>
      </c>
      <c r="AS120">
        <v>1</v>
      </c>
      <c r="AT120">
        <v>1</v>
      </c>
    </row>
    <row r="121" spans="1:46">
      <c r="A121" t="s">
        <v>1143</v>
      </c>
      <c r="B121">
        <v>121</v>
      </c>
      <c r="C121" t="s">
        <v>479</v>
      </c>
      <c r="D121" t="s">
        <v>672</v>
      </c>
      <c r="E121" t="s">
        <v>672</v>
      </c>
      <c r="F121" t="s">
        <v>672</v>
      </c>
      <c r="G121" t="s">
        <v>1144</v>
      </c>
      <c r="H121" t="s">
        <v>1145</v>
      </c>
      <c r="I121" t="s">
        <v>672</v>
      </c>
      <c r="J121" t="s">
        <v>704</v>
      </c>
      <c r="K121" t="s">
        <v>677</v>
      </c>
      <c r="L121" t="s">
        <v>672</v>
      </c>
      <c r="M121" t="s">
        <v>672</v>
      </c>
      <c r="N121" t="s">
        <v>672</v>
      </c>
      <c r="O121" t="s">
        <v>692</v>
      </c>
      <c r="P121" t="s">
        <v>672</v>
      </c>
      <c r="Q121" t="s">
        <v>672</v>
      </c>
      <c r="R121" t="s">
        <v>672</v>
      </c>
      <c r="S121">
        <v>707100276</v>
      </c>
      <c r="T121">
        <v>54</v>
      </c>
      <c r="U121" t="s">
        <v>673</v>
      </c>
      <c r="V121" t="s">
        <v>672</v>
      </c>
      <c r="W121" t="s">
        <v>672</v>
      </c>
      <c r="X121" t="s">
        <v>1142</v>
      </c>
      <c r="Y121" t="s">
        <v>672</v>
      </c>
      <c r="Z121" s="1">
        <v>44942</v>
      </c>
      <c r="AA121">
        <v>1</v>
      </c>
      <c r="AB121" t="s">
        <v>672</v>
      </c>
      <c r="AC121" t="s">
        <v>672</v>
      </c>
      <c r="AD121" t="s">
        <v>672</v>
      </c>
      <c r="AE121" t="s">
        <v>672</v>
      </c>
      <c r="AF121" t="s">
        <v>672</v>
      </c>
      <c r="AG121" t="s">
        <v>672</v>
      </c>
      <c r="AH121" t="s">
        <v>672</v>
      </c>
      <c r="AI121" t="s">
        <v>672</v>
      </c>
      <c r="AJ121" t="s">
        <v>672</v>
      </c>
      <c r="AK121" t="s">
        <v>672</v>
      </c>
      <c r="AL121" t="s">
        <v>672</v>
      </c>
      <c r="AM121" t="s">
        <v>672</v>
      </c>
      <c r="AN121" t="s">
        <v>672</v>
      </c>
      <c r="AO121" t="s">
        <v>672</v>
      </c>
      <c r="AP121">
        <v>3</v>
      </c>
      <c r="AQ121">
        <v>1</v>
      </c>
      <c r="AR121" t="s">
        <v>672</v>
      </c>
      <c r="AS121">
        <v>1</v>
      </c>
      <c r="AT121">
        <v>1</v>
      </c>
    </row>
    <row r="122" spans="1:46">
      <c r="A122" t="s">
        <v>474</v>
      </c>
      <c r="B122">
        <v>122</v>
      </c>
      <c r="C122" t="s">
        <v>1146</v>
      </c>
      <c r="D122" t="s">
        <v>672</v>
      </c>
      <c r="E122" t="s">
        <v>672</v>
      </c>
      <c r="F122" t="s">
        <v>672</v>
      </c>
      <c r="G122" t="s">
        <v>1148</v>
      </c>
      <c r="H122" t="s">
        <v>1149</v>
      </c>
      <c r="I122" t="s">
        <v>672</v>
      </c>
      <c r="J122" t="s">
        <v>704</v>
      </c>
      <c r="K122" t="s">
        <v>677</v>
      </c>
      <c r="L122" t="s">
        <v>672</v>
      </c>
      <c r="M122" t="s">
        <v>672</v>
      </c>
      <c r="N122" t="s">
        <v>672</v>
      </c>
      <c r="O122" t="s">
        <v>798</v>
      </c>
      <c r="P122" t="s">
        <v>672</v>
      </c>
      <c r="Q122" t="s">
        <v>672</v>
      </c>
      <c r="R122" t="s">
        <v>672</v>
      </c>
      <c r="S122">
        <v>707364821</v>
      </c>
      <c r="T122">
        <v>54</v>
      </c>
      <c r="U122" t="s">
        <v>673</v>
      </c>
      <c r="V122" t="s">
        <v>672</v>
      </c>
      <c r="W122" t="s">
        <v>672</v>
      </c>
      <c r="X122" t="s">
        <v>1147</v>
      </c>
      <c r="Y122" t="s">
        <v>672</v>
      </c>
      <c r="Z122" s="1">
        <v>44224</v>
      </c>
      <c r="AA122">
        <v>1</v>
      </c>
      <c r="AB122" t="s">
        <v>672</v>
      </c>
      <c r="AC122" t="s">
        <v>672</v>
      </c>
      <c r="AD122" t="s">
        <v>672</v>
      </c>
      <c r="AE122" t="s">
        <v>672</v>
      </c>
      <c r="AF122" t="s">
        <v>672</v>
      </c>
      <c r="AG122" t="s">
        <v>672</v>
      </c>
      <c r="AH122" t="s">
        <v>672</v>
      </c>
      <c r="AI122" t="s">
        <v>672</v>
      </c>
      <c r="AJ122" t="s">
        <v>672</v>
      </c>
      <c r="AK122" t="s">
        <v>672</v>
      </c>
      <c r="AL122" t="s">
        <v>672</v>
      </c>
      <c r="AM122" t="s">
        <v>672</v>
      </c>
      <c r="AN122" t="s">
        <v>672</v>
      </c>
      <c r="AO122" t="s">
        <v>672</v>
      </c>
      <c r="AP122">
        <v>3</v>
      </c>
      <c r="AQ122">
        <v>1</v>
      </c>
      <c r="AR122" t="s">
        <v>672</v>
      </c>
      <c r="AS122">
        <v>1</v>
      </c>
      <c r="AT122">
        <v>1</v>
      </c>
    </row>
    <row r="123" spans="1:46">
      <c r="A123" t="s">
        <v>464</v>
      </c>
      <c r="B123">
        <v>123</v>
      </c>
      <c r="C123" t="s">
        <v>1150</v>
      </c>
      <c r="D123" t="s">
        <v>672</v>
      </c>
      <c r="E123" t="s">
        <v>672</v>
      </c>
      <c r="F123" t="s">
        <v>672</v>
      </c>
      <c r="G123" t="s">
        <v>1152</v>
      </c>
      <c r="H123" t="s">
        <v>1153</v>
      </c>
      <c r="I123" t="s">
        <v>672</v>
      </c>
      <c r="J123" t="s">
        <v>704</v>
      </c>
      <c r="K123" t="s">
        <v>712</v>
      </c>
      <c r="L123" t="s">
        <v>672</v>
      </c>
      <c r="M123" t="s">
        <v>672</v>
      </c>
      <c r="N123" t="s">
        <v>672</v>
      </c>
      <c r="O123" t="s">
        <v>705</v>
      </c>
      <c r="P123" t="s">
        <v>672</v>
      </c>
      <c r="Q123" t="s">
        <v>672</v>
      </c>
      <c r="R123" t="s">
        <v>672</v>
      </c>
      <c r="S123">
        <v>21014000</v>
      </c>
      <c r="T123">
        <v>54</v>
      </c>
      <c r="U123" t="s">
        <v>673</v>
      </c>
      <c r="V123" t="s">
        <v>672</v>
      </c>
      <c r="W123" t="s">
        <v>672</v>
      </c>
      <c r="X123" t="s">
        <v>1151</v>
      </c>
      <c r="Y123" t="s">
        <v>672</v>
      </c>
      <c r="Z123" s="1">
        <v>44224</v>
      </c>
      <c r="AA123">
        <v>1</v>
      </c>
      <c r="AB123" t="s">
        <v>672</v>
      </c>
      <c r="AC123" t="s">
        <v>672</v>
      </c>
      <c r="AD123" t="s">
        <v>672</v>
      </c>
      <c r="AE123" t="s">
        <v>672</v>
      </c>
      <c r="AF123" t="s">
        <v>672</v>
      </c>
      <c r="AG123" t="s">
        <v>672</v>
      </c>
      <c r="AH123" t="s">
        <v>672</v>
      </c>
      <c r="AI123" t="s">
        <v>672</v>
      </c>
      <c r="AJ123" t="s">
        <v>672</v>
      </c>
      <c r="AK123" t="s">
        <v>672</v>
      </c>
      <c r="AL123" t="s">
        <v>672</v>
      </c>
      <c r="AM123" t="s">
        <v>672</v>
      </c>
      <c r="AN123" t="s">
        <v>672</v>
      </c>
      <c r="AO123" t="s">
        <v>672</v>
      </c>
      <c r="AP123">
        <v>3</v>
      </c>
      <c r="AQ123">
        <v>1</v>
      </c>
      <c r="AR123" t="s">
        <v>672</v>
      </c>
      <c r="AS123">
        <v>1</v>
      </c>
      <c r="AT123">
        <v>1</v>
      </c>
    </row>
    <row r="124" spans="1:46">
      <c r="A124" t="s">
        <v>462</v>
      </c>
      <c r="B124">
        <v>124</v>
      </c>
      <c r="C124" t="s">
        <v>1154</v>
      </c>
      <c r="D124" t="s">
        <v>672</v>
      </c>
      <c r="E124" t="s">
        <v>672</v>
      </c>
      <c r="F124" t="s">
        <v>672</v>
      </c>
      <c r="G124" t="s">
        <v>1156</v>
      </c>
      <c r="H124" t="s">
        <v>1157</v>
      </c>
      <c r="I124" t="s">
        <v>672</v>
      </c>
      <c r="J124" t="s">
        <v>676</v>
      </c>
      <c r="K124" t="s">
        <v>677</v>
      </c>
      <c r="L124" t="s">
        <v>672</v>
      </c>
      <c r="M124" t="s">
        <v>672</v>
      </c>
      <c r="N124" t="s">
        <v>672</v>
      </c>
      <c r="O124" t="s">
        <v>705</v>
      </c>
      <c r="P124" t="s">
        <v>672</v>
      </c>
      <c r="Q124" t="s">
        <v>672</v>
      </c>
      <c r="R124" t="s">
        <v>672</v>
      </c>
      <c r="T124">
        <v>54</v>
      </c>
      <c r="U124" t="s">
        <v>673</v>
      </c>
      <c r="V124" t="s">
        <v>672</v>
      </c>
      <c r="W124" t="s">
        <v>672</v>
      </c>
      <c r="X124" t="s">
        <v>1155</v>
      </c>
      <c r="Y124" t="s">
        <v>672</v>
      </c>
      <c r="Z124" s="1">
        <v>43859</v>
      </c>
      <c r="AA124">
        <v>1</v>
      </c>
      <c r="AB124" t="s">
        <v>672</v>
      </c>
      <c r="AC124" t="s">
        <v>672</v>
      </c>
      <c r="AD124" t="s">
        <v>672</v>
      </c>
      <c r="AE124" t="s">
        <v>672</v>
      </c>
      <c r="AF124" t="s">
        <v>672</v>
      </c>
      <c r="AG124" t="s">
        <v>672</v>
      </c>
      <c r="AH124" t="s">
        <v>672</v>
      </c>
      <c r="AI124" t="s">
        <v>672</v>
      </c>
      <c r="AJ124" t="s">
        <v>672</v>
      </c>
      <c r="AK124" t="s">
        <v>672</v>
      </c>
      <c r="AL124" t="s">
        <v>672</v>
      </c>
      <c r="AM124" t="s">
        <v>672</v>
      </c>
      <c r="AN124" t="s">
        <v>672</v>
      </c>
      <c r="AO124" t="s">
        <v>672</v>
      </c>
      <c r="AP124">
        <v>3</v>
      </c>
      <c r="AQ124">
        <v>1</v>
      </c>
      <c r="AR124" t="s">
        <v>672</v>
      </c>
      <c r="AS124">
        <v>1</v>
      </c>
      <c r="AT124">
        <v>1</v>
      </c>
    </row>
    <row r="125" spans="1:46">
      <c r="A125" t="s">
        <v>450</v>
      </c>
      <c r="B125">
        <v>125</v>
      </c>
      <c r="C125" t="s">
        <v>1158</v>
      </c>
      <c r="D125" t="s">
        <v>672</v>
      </c>
      <c r="E125" t="s">
        <v>672</v>
      </c>
      <c r="F125" t="s">
        <v>672</v>
      </c>
      <c r="G125" t="s">
        <v>1159</v>
      </c>
      <c r="H125" t="s">
        <v>1160</v>
      </c>
      <c r="I125" t="s">
        <v>672</v>
      </c>
      <c r="J125" t="s">
        <v>676</v>
      </c>
      <c r="K125" t="s">
        <v>677</v>
      </c>
      <c r="L125" t="s">
        <v>672</v>
      </c>
      <c r="M125" t="s">
        <v>672</v>
      </c>
      <c r="N125" t="s">
        <v>672</v>
      </c>
      <c r="O125" t="s">
        <v>705</v>
      </c>
      <c r="P125" t="s">
        <v>672</v>
      </c>
      <c r="Q125" t="s">
        <v>672</v>
      </c>
      <c r="R125" t="s">
        <v>672</v>
      </c>
      <c r="S125">
        <v>707049368</v>
      </c>
      <c r="T125">
        <v>54</v>
      </c>
      <c r="U125" t="s">
        <v>673</v>
      </c>
      <c r="V125" t="s">
        <v>672</v>
      </c>
      <c r="W125" t="s">
        <v>672</v>
      </c>
      <c r="X125" t="s">
        <v>778</v>
      </c>
      <c r="Y125" t="s">
        <v>672</v>
      </c>
      <c r="Z125" s="1">
        <v>44203</v>
      </c>
      <c r="AA125">
        <v>1</v>
      </c>
      <c r="AB125" t="s">
        <v>672</v>
      </c>
      <c r="AC125" t="s">
        <v>672</v>
      </c>
      <c r="AD125" t="s">
        <v>672</v>
      </c>
      <c r="AE125" t="s">
        <v>672</v>
      </c>
      <c r="AF125" t="s">
        <v>672</v>
      </c>
      <c r="AG125" t="s">
        <v>672</v>
      </c>
      <c r="AH125" t="s">
        <v>672</v>
      </c>
      <c r="AI125" t="s">
        <v>672</v>
      </c>
      <c r="AJ125" t="s">
        <v>672</v>
      </c>
      <c r="AK125" t="s">
        <v>672</v>
      </c>
      <c r="AL125" t="s">
        <v>672</v>
      </c>
      <c r="AM125" t="s">
        <v>672</v>
      </c>
      <c r="AN125" t="s">
        <v>672</v>
      </c>
      <c r="AO125" t="s">
        <v>672</v>
      </c>
      <c r="AP125">
        <v>3</v>
      </c>
      <c r="AQ125">
        <v>1</v>
      </c>
      <c r="AR125" t="s">
        <v>672</v>
      </c>
      <c r="AS125">
        <v>1</v>
      </c>
      <c r="AT125">
        <v>1</v>
      </c>
    </row>
    <row r="126" spans="1:46">
      <c r="A126" t="s">
        <v>424</v>
      </c>
      <c r="B126">
        <v>126</v>
      </c>
      <c r="C126" t="s">
        <v>2148</v>
      </c>
      <c r="D126" t="s">
        <v>672</v>
      </c>
      <c r="E126" t="s">
        <v>672</v>
      </c>
      <c r="F126" t="s">
        <v>672</v>
      </c>
      <c r="G126" t="s">
        <v>1162</v>
      </c>
      <c r="H126" t="s">
        <v>1163</v>
      </c>
      <c r="I126" t="s">
        <v>672</v>
      </c>
      <c r="J126" t="s">
        <v>704</v>
      </c>
      <c r="K126" t="s">
        <v>712</v>
      </c>
      <c r="L126" t="s">
        <v>672</v>
      </c>
      <c r="M126" t="s">
        <v>672</v>
      </c>
      <c r="N126" t="s">
        <v>672</v>
      </c>
      <c r="O126" t="s">
        <v>705</v>
      </c>
      <c r="P126" t="s">
        <v>672</v>
      </c>
      <c r="Q126" t="s">
        <v>672</v>
      </c>
      <c r="R126" t="s">
        <v>672</v>
      </c>
      <c r="S126">
        <v>708423838</v>
      </c>
      <c r="T126">
        <v>54</v>
      </c>
      <c r="U126" t="s">
        <v>673</v>
      </c>
      <c r="V126" t="s">
        <v>672</v>
      </c>
      <c r="W126" t="s">
        <v>672</v>
      </c>
      <c r="X126" t="s">
        <v>1161</v>
      </c>
      <c r="Y126" t="s">
        <v>672</v>
      </c>
      <c r="Z126" s="1">
        <v>44589</v>
      </c>
      <c r="AA126">
        <v>1</v>
      </c>
      <c r="AB126" t="s">
        <v>672</v>
      </c>
      <c r="AC126" t="s">
        <v>672</v>
      </c>
      <c r="AD126" t="s">
        <v>672</v>
      </c>
      <c r="AE126" t="s">
        <v>672</v>
      </c>
      <c r="AF126" t="s">
        <v>672</v>
      </c>
      <c r="AG126" t="s">
        <v>672</v>
      </c>
      <c r="AH126" t="s">
        <v>672</v>
      </c>
      <c r="AI126" t="s">
        <v>672</v>
      </c>
      <c r="AJ126" t="s">
        <v>672</v>
      </c>
      <c r="AK126" t="s">
        <v>672</v>
      </c>
      <c r="AL126" t="s">
        <v>672</v>
      </c>
      <c r="AM126" t="s">
        <v>672</v>
      </c>
      <c r="AN126" t="s">
        <v>672</v>
      </c>
      <c r="AO126" t="s">
        <v>672</v>
      </c>
      <c r="AP126">
        <v>3</v>
      </c>
      <c r="AQ126">
        <v>1</v>
      </c>
      <c r="AR126" t="s">
        <v>672</v>
      </c>
      <c r="AS126">
        <v>1</v>
      </c>
      <c r="AT126">
        <v>1</v>
      </c>
    </row>
    <row r="127" spans="1:46">
      <c r="A127" t="s">
        <v>388</v>
      </c>
      <c r="B127">
        <v>127</v>
      </c>
      <c r="C127" t="s">
        <v>389</v>
      </c>
      <c r="D127" t="s">
        <v>672</v>
      </c>
      <c r="E127" t="s">
        <v>672</v>
      </c>
      <c r="F127" t="s">
        <v>672</v>
      </c>
      <c r="G127" t="s">
        <v>1165</v>
      </c>
      <c r="H127" t="s">
        <v>1166</v>
      </c>
      <c r="I127" t="s">
        <v>672</v>
      </c>
      <c r="J127" t="s">
        <v>704</v>
      </c>
      <c r="K127" t="s">
        <v>712</v>
      </c>
      <c r="L127" t="s">
        <v>672</v>
      </c>
      <c r="M127" t="s">
        <v>672</v>
      </c>
      <c r="N127" t="s">
        <v>672</v>
      </c>
      <c r="O127" t="s">
        <v>705</v>
      </c>
      <c r="P127" t="s">
        <v>672</v>
      </c>
      <c r="Q127" t="s">
        <v>672</v>
      </c>
      <c r="R127" t="s">
        <v>672</v>
      </c>
      <c r="S127">
        <v>709410290</v>
      </c>
      <c r="T127">
        <v>54</v>
      </c>
      <c r="U127" t="s">
        <v>673</v>
      </c>
      <c r="V127" t="s">
        <v>672</v>
      </c>
      <c r="W127" t="s">
        <v>672</v>
      </c>
      <c r="X127" t="s">
        <v>1164</v>
      </c>
      <c r="Y127" t="s">
        <v>672</v>
      </c>
      <c r="Z127" s="1">
        <v>44589</v>
      </c>
      <c r="AA127">
        <v>1</v>
      </c>
      <c r="AB127" t="s">
        <v>672</v>
      </c>
      <c r="AC127" t="s">
        <v>672</v>
      </c>
      <c r="AD127" t="s">
        <v>672</v>
      </c>
      <c r="AE127" t="s">
        <v>672</v>
      </c>
      <c r="AF127" t="s">
        <v>672</v>
      </c>
      <c r="AG127" t="s">
        <v>672</v>
      </c>
      <c r="AH127" t="s">
        <v>672</v>
      </c>
      <c r="AI127" t="s">
        <v>672</v>
      </c>
      <c r="AJ127" t="s">
        <v>672</v>
      </c>
      <c r="AK127" t="s">
        <v>672</v>
      </c>
      <c r="AL127" t="s">
        <v>672</v>
      </c>
      <c r="AM127" t="s">
        <v>672</v>
      </c>
      <c r="AN127" t="s">
        <v>672</v>
      </c>
      <c r="AO127" t="s">
        <v>672</v>
      </c>
      <c r="AP127">
        <v>3</v>
      </c>
      <c r="AQ127">
        <v>1</v>
      </c>
      <c r="AR127" t="s">
        <v>672</v>
      </c>
      <c r="AS127">
        <v>1</v>
      </c>
      <c r="AT127">
        <v>1</v>
      </c>
    </row>
    <row r="128" spans="1:46">
      <c r="A128" t="s">
        <v>308</v>
      </c>
      <c r="B128">
        <v>128</v>
      </c>
      <c r="C128" t="s">
        <v>309</v>
      </c>
      <c r="D128" t="s">
        <v>672</v>
      </c>
      <c r="E128" t="s">
        <v>672</v>
      </c>
      <c r="F128" t="s">
        <v>672</v>
      </c>
      <c r="G128" t="s">
        <v>1168</v>
      </c>
      <c r="H128" t="s">
        <v>1169</v>
      </c>
      <c r="I128" t="s">
        <v>672</v>
      </c>
      <c r="J128" t="s">
        <v>704</v>
      </c>
      <c r="K128" t="s">
        <v>677</v>
      </c>
      <c r="L128" t="s">
        <v>672</v>
      </c>
      <c r="M128" t="s">
        <v>672</v>
      </c>
      <c r="N128" t="s">
        <v>672</v>
      </c>
      <c r="O128" t="s">
        <v>798</v>
      </c>
      <c r="P128" t="s">
        <v>672</v>
      </c>
      <c r="Q128" t="s">
        <v>672</v>
      </c>
      <c r="R128" t="s">
        <v>672</v>
      </c>
      <c r="S128">
        <v>78375845</v>
      </c>
      <c r="T128">
        <v>54</v>
      </c>
      <c r="U128" t="s">
        <v>673</v>
      </c>
      <c r="V128" t="s">
        <v>672</v>
      </c>
      <c r="W128" t="s">
        <v>672</v>
      </c>
      <c r="X128" t="s">
        <v>1167</v>
      </c>
      <c r="Y128" t="s">
        <v>672</v>
      </c>
      <c r="Z128" s="1">
        <v>44224</v>
      </c>
      <c r="AA128">
        <v>1</v>
      </c>
      <c r="AB128" t="s">
        <v>672</v>
      </c>
      <c r="AC128" t="s">
        <v>672</v>
      </c>
      <c r="AD128" t="s">
        <v>672</v>
      </c>
      <c r="AE128" t="s">
        <v>672</v>
      </c>
      <c r="AF128" t="s">
        <v>672</v>
      </c>
      <c r="AG128" t="s">
        <v>672</v>
      </c>
      <c r="AH128" t="s">
        <v>672</v>
      </c>
      <c r="AI128" t="s">
        <v>672</v>
      </c>
      <c r="AJ128" t="s">
        <v>672</v>
      </c>
      <c r="AK128" t="s">
        <v>672</v>
      </c>
      <c r="AL128" t="s">
        <v>672</v>
      </c>
      <c r="AM128" t="s">
        <v>672</v>
      </c>
      <c r="AN128" t="s">
        <v>672</v>
      </c>
      <c r="AO128" t="s">
        <v>672</v>
      </c>
      <c r="AP128">
        <v>3</v>
      </c>
      <c r="AQ128">
        <v>1</v>
      </c>
      <c r="AR128" t="s">
        <v>672</v>
      </c>
      <c r="AS128">
        <v>1</v>
      </c>
      <c r="AT128">
        <v>1</v>
      </c>
    </row>
    <row r="129" spans="1:46">
      <c r="A129" t="s">
        <v>306</v>
      </c>
      <c r="B129">
        <v>129</v>
      </c>
      <c r="C129" t="s">
        <v>307</v>
      </c>
      <c r="D129" t="s">
        <v>672</v>
      </c>
      <c r="E129" t="s">
        <v>672</v>
      </c>
      <c r="F129" t="s">
        <v>672</v>
      </c>
      <c r="G129" t="s">
        <v>1170</v>
      </c>
      <c r="H129" t="s">
        <v>1171</v>
      </c>
      <c r="I129" t="s">
        <v>672</v>
      </c>
      <c r="J129" t="s">
        <v>704</v>
      </c>
      <c r="K129" t="s">
        <v>677</v>
      </c>
      <c r="L129" t="s">
        <v>672</v>
      </c>
      <c r="M129" t="s">
        <v>672</v>
      </c>
      <c r="N129" t="s">
        <v>672</v>
      </c>
      <c r="O129" t="s">
        <v>705</v>
      </c>
      <c r="P129" t="s">
        <v>672</v>
      </c>
      <c r="Q129" t="s">
        <v>672</v>
      </c>
      <c r="R129" t="s">
        <v>672</v>
      </c>
      <c r="S129">
        <v>707417993</v>
      </c>
      <c r="T129">
        <v>54</v>
      </c>
      <c r="U129" t="s">
        <v>673</v>
      </c>
      <c r="V129" t="s">
        <v>672</v>
      </c>
      <c r="W129" t="s">
        <v>672</v>
      </c>
      <c r="X129" t="s">
        <v>1123</v>
      </c>
      <c r="Y129" t="s">
        <v>672</v>
      </c>
      <c r="Z129" s="1">
        <v>44592</v>
      </c>
      <c r="AA129">
        <v>1</v>
      </c>
      <c r="AB129" t="s">
        <v>672</v>
      </c>
      <c r="AC129" t="s">
        <v>672</v>
      </c>
      <c r="AD129" t="s">
        <v>672</v>
      </c>
      <c r="AE129" t="s">
        <v>672</v>
      </c>
      <c r="AF129" t="s">
        <v>672</v>
      </c>
      <c r="AG129" t="s">
        <v>672</v>
      </c>
      <c r="AH129" t="s">
        <v>672</v>
      </c>
      <c r="AI129" t="s">
        <v>672</v>
      </c>
      <c r="AJ129" t="s">
        <v>672</v>
      </c>
      <c r="AK129" t="s">
        <v>672</v>
      </c>
      <c r="AL129" t="s">
        <v>672</v>
      </c>
      <c r="AM129" t="s">
        <v>672</v>
      </c>
      <c r="AN129" t="s">
        <v>672</v>
      </c>
      <c r="AO129" t="s">
        <v>672</v>
      </c>
      <c r="AP129">
        <v>3</v>
      </c>
      <c r="AQ129">
        <v>1</v>
      </c>
      <c r="AR129" t="s">
        <v>672</v>
      </c>
      <c r="AS129">
        <v>1</v>
      </c>
      <c r="AT129">
        <v>1</v>
      </c>
    </row>
    <row r="130" spans="1:46">
      <c r="A130" t="s">
        <v>292</v>
      </c>
      <c r="B130">
        <v>130</v>
      </c>
      <c r="C130" t="s">
        <v>1172</v>
      </c>
      <c r="D130" t="s">
        <v>672</v>
      </c>
      <c r="E130" t="s">
        <v>672</v>
      </c>
      <c r="F130" t="s">
        <v>672</v>
      </c>
      <c r="G130" t="s">
        <v>1174</v>
      </c>
      <c r="H130" t="s">
        <v>1175</v>
      </c>
      <c r="I130" t="s">
        <v>672</v>
      </c>
      <c r="J130" t="s">
        <v>676</v>
      </c>
      <c r="K130" t="s">
        <v>677</v>
      </c>
      <c r="L130" t="s">
        <v>672</v>
      </c>
      <c r="M130" t="s">
        <v>672</v>
      </c>
      <c r="N130" t="s">
        <v>672</v>
      </c>
      <c r="O130" t="s">
        <v>705</v>
      </c>
      <c r="P130" t="s">
        <v>672</v>
      </c>
      <c r="Q130" t="s">
        <v>672</v>
      </c>
      <c r="R130" t="s">
        <v>672</v>
      </c>
      <c r="S130">
        <v>747242373</v>
      </c>
      <c r="T130">
        <v>54</v>
      </c>
      <c r="U130" t="s">
        <v>673</v>
      </c>
      <c r="V130" t="s">
        <v>672</v>
      </c>
      <c r="W130" t="s">
        <v>672</v>
      </c>
      <c r="X130" t="s">
        <v>1173</v>
      </c>
      <c r="Y130" t="s">
        <v>672</v>
      </c>
      <c r="Z130" s="1">
        <v>44217</v>
      </c>
      <c r="AA130">
        <v>1</v>
      </c>
      <c r="AB130" t="s">
        <v>672</v>
      </c>
      <c r="AC130" t="s">
        <v>672</v>
      </c>
      <c r="AD130" t="s">
        <v>672</v>
      </c>
      <c r="AE130" t="s">
        <v>672</v>
      </c>
      <c r="AF130" t="s">
        <v>672</v>
      </c>
      <c r="AG130" t="s">
        <v>672</v>
      </c>
      <c r="AH130" t="s">
        <v>672</v>
      </c>
      <c r="AI130" t="s">
        <v>672</v>
      </c>
      <c r="AJ130" t="s">
        <v>672</v>
      </c>
      <c r="AK130" t="s">
        <v>672</v>
      </c>
      <c r="AL130" t="s">
        <v>672</v>
      </c>
      <c r="AM130" t="s">
        <v>672</v>
      </c>
      <c r="AN130" t="s">
        <v>672</v>
      </c>
      <c r="AO130" t="s">
        <v>672</v>
      </c>
      <c r="AP130">
        <v>3</v>
      </c>
      <c r="AQ130">
        <v>1</v>
      </c>
      <c r="AR130" t="s">
        <v>672</v>
      </c>
      <c r="AS130">
        <v>1</v>
      </c>
      <c r="AT130">
        <v>1</v>
      </c>
    </row>
    <row r="131" spans="1:46">
      <c r="A131" t="s">
        <v>281</v>
      </c>
      <c r="B131">
        <v>131</v>
      </c>
      <c r="C131" t="s">
        <v>282</v>
      </c>
      <c r="D131" t="s">
        <v>672</v>
      </c>
      <c r="E131" t="s">
        <v>672</v>
      </c>
      <c r="F131" t="s">
        <v>672</v>
      </c>
      <c r="G131" t="s">
        <v>1177</v>
      </c>
      <c r="H131" t="s">
        <v>1178</v>
      </c>
      <c r="I131" t="s">
        <v>672</v>
      </c>
      <c r="J131" t="s">
        <v>676</v>
      </c>
      <c r="K131" t="s">
        <v>677</v>
      </c>
      <c r="L131" t="s">
        <v>672</v>
      </c>
      <c r="M131" t="s">
        <v>672</v>
      </c>
      <c r="N131" t="s">
        <v>672</v>
      </c>
      <c r="O131" t="s">
        <v>705</v>
      </c>
      <c r="P131" t="s">
        <v>672</v>
      </c>
      <c r="Q131" t="s">
        <v>672</v>
      </c>
      <c r="R131" t="s">
        <v>672</v>
      </c>
      <c r="S131">
        <v>707871577</v>
      </c>
      <c r="T131">
        <v>54</v>
      </c>
      <c r="U131" t="s">
        <v>673</v>
      </c>
      <c r="V131" t="s">
        <v>672</v>
      </c>
      <c r="W131" t="s">
        <v>672</v>
      </c>
      <c r="X131" t="s">
        <v>1176</v>
      </c>
      <c r="Y131" t="s">
        <v>672</v>
      </c>
      <c r="Z131" s="1">
        <v>43859</v>
      </c>
      <c r="AA131">
        <v>1</v>
      </c>
      <c r="AB131" t="s">
        <v>672</v>
      </c>
      <c r="AC131" t="s">
        <v>672</v>
      </c>
      <c r="AD131" t="s">
        <v>672</v>
      </c>
      <c r="AE131" t="s">
        <v>672</v>
      </c>
      <c r="AF131" t="s">
        <v>672</v>
      </c>
      <c r="AG131" t="s">
        <v>672</v>
      </c>
      <c r="AH131" t="s">
        <v>672</v>
      </c>
      <c r="AI131" t="s">
        <v>672</v>
      </c>
      <c r="AJ131" t="s">
        <v>672</v>
      </c>
      <c r="AK131" t="s">
        <v>672</v>
      </c>
      <c r="AL131" t="s">
        <v>672</v>
      </c>
      <c r="AM131" t="s">
        <v>672</v>
      </c>
      <c r="AN131" t="s">
        <v>672</v>
      </c>
      <c r="AO131" t="s">
        <v>672</v>
      </c>
      <c r="AP131">
        <v>3</v>
      </c>
      <c r="AQ131">
        <v>1</v>
      </c>
      <c r="AR131" t="s">
        <v>672</v>
      </c>
      <c r="AS131">
        <v>1</v>
      </c>
      <c r="AT131">
        <v>1</v>
      </c>
    </row>
    <row r="132" spans="1:46">
      <c r="A132" t="s">
        <v>273</v>
      </c>
      <c r="B132">
        <v>132</v>
      </c>
      <c r="C132" t="s">
        <v>1179</v>
      </c>
      <c r="D132" t="s">
        <v>672</v>
      </c>
      <c r="E132" t="s">
        <v>672</v>
      </c>
      <c r="F132" t="s">
        <v>672</v>
      </c>
      <c r="G132" t="s">
        <v>1181</v>
      </c>
      <c r="H132" t="s">
        <v>1182</v>
      </c>
      <c r="I132" t="s">
        <v>672</v>
      </c>
      <c r="J132" t="s">
        <v>676</v>
      </c>
      <c r="K132" t="s">
        <v>677</v>
      </c>
      <c r="L132" t="s">
        <v>672</v>
      </c>
      <c r="M132" t="s">
        <v>672</v>
      </c>
      <c r="N132" t="s">
        <v>672</v>
      </c>
      <c r="O132" t="s">
        <v>750</v>
      </c>
      <c r="P132" t="s">
        <v>672</v>
      </c>
      <c r="Q132" t="s">
        <v>672</v>
      </c>
      <c r="R132" t="s">
        <v>672</v>
      </c>
      <c r="S132">
        <v>55738106</v>
      </c>
      <c r="T132">
        <v>54</v>
      </c>
      <c r="U132" t="s">
        <v>673</v>
      </c>
      <c r="V132" t="s">
        <v>672</v>
      </c>
      <c r="W132" t="s">
        <v>672</v>
      </c>
      <c r="X132" t="s">
        <v>1180</v>
      </c>
      <c r="Y132" t="s">
        <v>672</v>
      </c>
      <c r="Z132" s="1">
        <v>44218</v>
      </c>
      <c r="AA132">
        <v>1</v>
      </c>
      <c r="AB132" t="s">
        <v>672</v>
      </c>
      <c r="AC132" t="s">
        <v>672</v>
      </c>
      <c r="AD132" t="s">
        <v>672</v>
      </c>
      <c r="AE132" t="s">
        <v>672</v>
      </c>
      <c r="AF132" t="s">
        <v>672</v>
      </c>
      <c r="AG132" t="s">
        <v>672</v>
      </c>
      <c r="AH132" t="s">
        <v>672</v>
      </c>
      <c r="AI132" t="s">
        <v>672</v>
      </c>
      <c r="AJ132" t="s">
        <v>672</v>
      </c>
      <c r="AK132" t="s">
        <v>672</v>
      </c>
      <c r="AL132" t="s">
        <v>672</v>
      </c>
      <c r="AM132" t="s">
        <v>672</v>
      </c>
      <c r="AN132" t="s">
        <v>672</v>
      </c>
      <c r="AO132" t="s">
        <v>672</v>
      </c>
      <c r="AP132">
        <v>3</v>
      </c>
      <c r="AQ132">
        <v>1</v>
      </c>
      <c r="AR132" t="s">
        <v>672</v>
      </c>
      <c r="AS132">
        <v>1</v>
      </c>
      <c r="AT132">
        <v>1</v>
      </c>
    </row>
    <row r="133" spans="1:46">
      <c r="A133" t="s">
        <v>1185</v>
      </c>
      <c r="B133">
        <v>133</v>
      </c>
      <c r="C133" t="s">
        <v>1183</v>
      </c>
      <c r="D133" t="s">
        <v>672</v>
      </c>
      <c r="E133" t="s">
        <v>672</v>
      </c>
      <c r="F133" t="s">
        <v>672</v>
      </c>
      <c r="G133" t="s">
        <v>1186</v>
      </c>
      <c r="H133" t="s">
        <v>1187</v>
      </c>
      <c r="I133" t="s">
        <v>672</v>
      </c>
      <c r="J133" t="s">
        <v>676</v>
      </c>
      <c r="K133" t="s">
        <v>677</v>
      </c>
      <c r="L133" t="s">
        <v>672</v>
      </c>
      <c r="M133" t="s">
        <v>672</v>
      </c>
      <c r="N133" t="s">
        <v>672</v>
      </c>
      <c r="O133" t="s">
        <v>705</v>
      </c>
      <c r="P133" t="s">
        <v>672</v>
      </c>
      <c r="Q133" t="s">
        <v>672</v>
      </c>
      <c r="R133" t="s">
        <v>672</v>
      </c>
      <c r="S133">
        <v>505337876</v>
      </c>
      <c r="T133">
        <v>54</v>
      </c>
      <c r="U133" t="s">
        <v>673</v>
      </c>
      <c r="V133" t="s">
        <v>672</v>
      </c>
      <c r="W133" t="s">
        <v>672</v>
      </c>
      <c r="X133" t="s">
        <v>1184</v>
      </c>
      <c r="Y133" t="s">
        <v>672</v>
      </c>
      <c r="Z133" s="1">
        <v>43871</v>
      </c>
      <c r="AA133">
        <v>1</v>
      </c>
      <c r="AB133" t="s">
        <v>672</v>
      </c>
      <c r="AC133" t="s">
        <v>672</v>
      </c>
      <c r="AD133" t="s">
        <v>672</v>
      </c>
      <c r="AE133" t="s">
        <v>672</v>
      </c>
      <c r="AF133" t="s">
        <v>672</v>
      </c>
      <c r="AG133" t="s">
        <v>672</v>
      </c>
      <c r="AH133" t="s">
        <v>672</v>
      </c>
      <c r="AI133" t="s">
        <v>672</v>
      </c>
      <c r="AJ133" t="s">
        <v>672</v>
      </c>
      <c r="AK133" t="s">
        <v>672</v>
      </c>
      <c r="AL133" t="s">
        <v>672</v>
      </c>
      <c r="AM133" t="s">
        <v>672</v>
      </c>
      <c r="AN133" t="s">
        <v>672</v>
      </c>
      <c r="AO133" t="s">
        <v>672</v>
      </c>
      <c r="AP133">
        <v>3</v>
      </c>
      <c r="AQ133">
        <v>1</v>
      </c>
      <c r="AR133" t="s">
        <v>672</v>
      </c>
      <c r="AS133">
        <v>1</v>
      </c>
      <c r="AT133">
        <v>1</v>
      </c>
    </row>
    <row r="134" spans="1:46">
      <c r="A134" t="s">
        <v>255</v>
      </c>
      <c r="B134">
        <v>134</v>
      </c>
      <c r="C134" t="s">
        <v>1188</v>
      </c>
      <c r="D134" t="s">
        <v>672</v>
      </c>
      <c r="E134" t="s">
        <v>672</v>
      </c>
      <c r="F134" t="s">
        <v>672</v>
      </c>
      <c r="G134" t="s">
        <v>1190</v>
      </c>
      <c r="H134" t="s">
        <v>1191</v>
      </c>
      <c r="I134" t="s">
        <v>672</v>
      </c>
      <c r="J134" t="s">
        <v>676</v>
      </c>
      <c r="K134" t="s">
        <v>677</v>
      </c>
      <c r="L134" t="s">
        <v>672</v>
      </c>
      <c r="M134" t="s">
        <v>672</v>
      </c>
      <c r="N134" t="s">
        <v>672</v>
      </c>
      <c r="O134" t="s">
        <v>705</v>
      </c>
      <c r="P134" t="s">
        <v>672</v>
      </c>
      <c r="Q134" t="s">
        <v>672</v>
      </c>
      <c r="R134" t="s">
        <v>672</v>
      </c>
      <c r="S134">
        <v>708452406</v>
      </c>
      <c r="T134">
        <v>54</v>
      </c>
      <c r="U134" t="s">
        <v>673</v>
      </c>
      <c r="V134" t="s">
        <v>672</v>
      </c>
      <c r="W134" t="s">
        <v>672</v>
      </c>
      <c r="X134" t="s">
        <v>1189</v>
      </c>
      <c r="Y134" t="s">
        <v>672</v>
      </c>
      <c r="Z134" s="1">
        <v>43871</v>
      </c>
      <c r="AA134">
        <v>1</v>
      </c>
      <c r="AB134" t="s">
        <v>672</v>
      </c>
      <c r="AC134" t="s">
        <v>672</v>
      </c>
      <c r="AD134" t="s">
        <v>672</v>
      </c>
      <c r="AE134" t="s">
        <v>672</v>
      </c>
      <c r="AF134" t="s">
        <v>672</v>
      </c>
      <c r="AG134" t="s">
        <v>672</v>
      </c>
      <c r="AH134" t="s">
        <v>672</v>
      </c>
      <c r="AI134" t="s">
        <v>672</v>
      </c>
      <c r="AJ134" t="s">
        <v>672</v>
      </c>
      <c r="AK134" t="s">
        <v>672</v>
      </c>
      <c r="AL134" t="s">
        <v>672</v>
      </c>
      <c r="AM134" t="s">
        <v>672</v>
      </c>
      <c r="AN134" t="s">
        <v>672</v>
      </c>
      <c r="AO134" t="s">
        <v>672</v>
      </c>
      <c r="AP134">
        <v>3</v>
      </c>
      <c r="AQ134">
        <v>1</v>
      </c>
      <c r="AR134" t="s">
        <v>672</v>
      </c>
      <c r="AS134">
        <v>1</v>
      </c>
      <c r="AT134">
        <v>1</v>
      </c>
    </row>
    <row r="135" spans="1:46">
      <c r="A135" t="s">
        <v>253</v>
      </c>
      <c r="B135">
        <v>135</v>
      </c>
      <c r="C135" t="s">
        <v>254</v>
      </c>
      <c r="D135" t="s">
        <v>672</v>
      </c>
      <c r="E135" t="s">
        <v>672</v>
      </c>
      <c r="F135" t="s">
        <v>672</v>
      </c>
      <c r="G135" t="s">
        <v>1193</v>
      </c>
      <c r="H135" t="s">
        <v>1194</v>
      </c>
      <c r="I135" t="s">
        <v>672</v>
      </c>
      <c r="J135" t="s">
        <v>676</v>
      </c>
      <c r="K135" t="s">
        <v>677</v>
      </c>
      <c r="L135" t="s">
        <v>672</v>
      </c>
      <c r="M135" t="s">
        <v>672</v>
      </c>
      <c r="N135" t="s">
        <v>672</v>
      </c>
      <c r="O135" t="s">
        <v>687</v>
      </c>
      <c r="P135" t="s">
        <v>672</v>
      </c>
      <c r="Q135" t="s">
        <v>672</v>
      </c>
      <c r="R135" t="s">
        <v>672</v>
      </c>
      <c r="S135">
        <v>22500438</v>
      </c>
      <c r="T135">
        <v>54</v>
      </c>
      <c r="U135" t="s">
        <v>673</v>
      </c>
      <c r="V135" t="s">
        <v>672</v>
      </c>
      <c r="W135" t="s">
        <v>672</v>
      </c>
      <c r="X135" t="s">
        <v>2149</v>
      </c>
      <c r="Y135" t="s">
        <v>672</v>
      </c>
      <c r="Z135" s="1">
        <v>44206</v>
      </c>
      <c r="AA135">
        <v>1</v>
      </c>
      <c r="AB135" t="s">
        <v>672</v>
      </c>
      <c r="AC135" t="s">
        <v>672</v>
      </c>
      <c r="AD135" t="s">
        <v>672</v>
      </c>
      <c r="AE135" t="s">
        <v>672</v>
      </c>
      <c r="AF135" t="s">
        <v>672</v>
      </c>
      <c r="AG135" t="s">
        <v>672</v>
      </c>
      <c r="AH135" t="s">
        <v>672</v>
      </c>
      <c r="AI135" t="s">
        <v>672</v>
      </c>
      <c r="AJ135" t="s">
        <v>672</v>
      </c>
      <c r="AK135" t="s">
        <v>672</v>
      </c>
      <c r="AL135" t="s">
        <v>672</v>
      </c>
      <c r="AM135" t="s">
        <v>672</v>
      </c>
      <c r="AN135" t="s">
        <v>672</v>
      </c>
      <c r="AO135" t="s">
        <v>672</v>
      </c>
      <c r="AP135">
        <v>3</v>
      </c>
      <c r="AQ135">
        <v>1</v>
      </c>
      <c r="AR135" t="s">
        <v>672</v>
      </c>
      <c r="AS135">
        <v>1</v>
      </c>
      <c r="AT135">
        <v>1</v>
      </c>
    </row>
    <row r="136" spans="1:46">
      <c r="A136" t="s">
        <v>245</v>
      </c>
      <c r="B136">
        <v>136</v>
      </c>
      <c r="C136" t="s">
        <v>1195</v>
      </c>
      <c r="D136" t="s">
        <v>672</v>
      </c>
      <c r="E136" t="s">
        <v>672</v>
      </c>
      <c r="F136" t="s">
        <v>672</v>
      </c>
      <c r="G136" t="s">
        <v>1197</v>
      </c>
      <c r="H136" t="s">
        <v>1198</v>
      </c>
      <c r="I136" t="s">
        <v>672</v>
      </c>
      <c r="J136" t="s">
        <v>676</v>
      </c>
      <c r="K136" t="s">
        <v>677</v>
      </c>
      <c r="L136" t="s">
        <v>672</v>
      </c>
      <c r="M136" t="s">
        <v>672</v>
      </c>
      <c r="N136" t="s">
        <v>672</v>
      </c>
      <c r="O136" t="s">
        <v>705</v>
      </c>
      <c r="P136" t="s">
        <v>672</v>
      </c>
      <c r="Q136" t="s">
        <v>672</v>
      </c>
      <c r="R136" t="s">
        <v>672</v>
      </c>
      <c r="S136">
        <v>708633706</v>
      </c>
      <c r="T136">
        <v>54</v>
      </c>
      <c r="U136" t="s">
        <v>673</v>
      </c>
      <c r="V136" t="s">
        <v>672</v>
      </c>
      <c r="W136" t="s">
        <v>672</v>
      </c>
      <c r="X136" t="s">
        <v>1196</v>
      </c>
      <c r="Y136" t="s">
        <v>672</v>
      </c>
      <c r="Z136" s="1">
        <v>44245</v>
      </c>
      <c r="AA136">
        <v>1</v>
      </c>
      <c r="AB136" t="s">
        <v>672</v>
      </c>
      <c r="AC136" t="s">
        <v>672</v>
      </c>
      <c r="AD136" t="s">
        <v>672</v>
      </c>
      <c r="AE136" t="s">
        <v>672</v>
      </c>
      <c r="AF136" t="s">
        <v>672</v>
      </c>
      <c r="AG136" t="s">
        <v>672</v>
      </c>
      <c r="AH136" t="s">
        <v>672</v>
      </c>
      <c r="AI136" t="s">
        <v>672</v>
      </c>
      <c r="AJ136" t="s">
        <v>672</v>
      </c>
      <c r="AK136" t="s">
        <v>672</v>
      </c>
      <c r="AL136" t="s">
        <v>672</v>
      </c>
      <c r="AM136" t="s">
        <v>672</v>
      </c>
      <c r="AN136" t="s">
        <v>672</v>
      </c>
      <c r="AO136" t="s">
        <v>672</v>
      </c>
      <c r="AP136">
        <v>3</v>
      </c>
      <c r="AQ136">
        <v>1</v>
      </c>
      <c r="AR136" t="s">
        <v>672</v>
      </c>
      <c r="AS136">
        <v>1</v>
      </c>
      <c r="AT136">
        <v>1</v>
      </c>
    </row>
    <row r="137" spans="1:46">
      <c r="A137" t="s">
        <v>241</v>
      </c>
      <c r="B137">
        <v>137</v>
      </c>
      <c r="C137" t="s">
        <v>1199</v>
      </c>
      <c r="D137" t="s">
        <v>672</v>
      </c>
      <c r="E137" t="s">
        <v>672</v>
      </c>
      <c r="F137" t="s">
        <v>672</v>
      </c>
      <c r="G137" t="s">
        <v>1201</v>
      </c>
      <c r="H137" t="s">
        <v>1202</v>
      </c>
      <c r="I137" t="s">
        <v>672</v>
      </c>
      <c r="J137" t="s">
        <v>676</v>
      </c>
      <c r="K137" t="s">
        <v>677</v>
      </c>
      <c r="L137" t="s">
        <v>672</v>
      </c>
      <c r="M137" t="s">
        <v>672</v>
      </c>
      <c r="N137" t="s">
        <v>672</v>
      </c>
      <c r="O137" t="s">
        <v>705</v>
      </c>
      <c r="P137" t="s">
        <v>672</v>
      </c>
      <c r="Q137" t="s">
        <v>672</v>
      </c>
      <c r="R137" t="s">
        <v>672</v>
      </c>
      <c r="S137">
        <v>707760027</v>
      </c>
      <c r="T137">
        <v>54</v>
      </c>
      <c r="U137" t="s">
        <v>673</v>
      </c>
      <c r="V137" t="s">
        <v>672</v>
      </c>
      <c r="W137" t="s">
        <v>672</v>
      </c>
      <c r="X137" t="s">
        <v>1200</v>
      </c>
      <c r="Y137" t="s">
        <v>672</v>
      </c>
      <c r="Z137" s="1">
        <v>44216</v>
      </c>
      <c r="AA137">
        <v>1</v>
      </c>
      <c r="AB137" t="s">
        <v>672</v>
      </c>
      <c r="AC137" t="s">
        <v>672</v>
      </c>
      <c r="AD137" t="s">
        <v>672</v>
      </c>
      <c r="AE137" t="s">
        <v>672</v>
      </c>
      <c r="AF137" t="s">
        <v>672</v>
      </c>
      <c r="AG137" t="s">
        <v>672</v>
      </c>
      <c r="AH137" t="s">
        <v>672</v>
      </c>
      <c r="AI137" t="s">
        <v>672</v>
      </c>
      <c r="AJ137" t="s">
        <v>672</v>
      </c>
      <c r="AK137" t="s">
        <v>672</v>
      </c>
      <c r="AL137" t="s">
        <v>672</v>
      </c>
      <c r="AM137" t="s">
        <v>672</v>
      </c>
      <c r="AN137" t="s">
        <v>672</v>
      </c>
      <c r="AO137" t="s">
        <v>672</v>
      </c>
      <c r="AP137">
        <v>3</v>
      </c>
      <c r="AQ137">
        <v>1</v>
      </c>
      <c r="AR137" t="s">
        <v>672</v>
      </c>
      <c r="AS137">
        <v>1</v>
      </c>
      <c r="AT137">
        <v>1</v>
      </c>
    </row>
    <row r="138" spans="1:46">
      <c r="A138" t="s">
        <v>239</v>
      </c>
      <c r="B138">
        <v>138</v>
      </c>
      <c r="C138" t="s">
        <v>240</v>
      </c>
      <c r="D138" t="s">
        <v>672</v>
      </c>
      <c r="E138" t="s">
        <v>672</v>
      </c>
      <c r="F138" t="s">
        <v>672</v>
      </c>
      <c r="G138" t="s">
        <v>1203</v>
      </c>
      <c r="H138" t="s">
        <v>1204</v>
      </c>
      <c r="I138" t="s">
        <v>672</v>
      </c>
      <c r="J138" t="s">
        <v>676</v>
      </c>
      <c r="K138" t="s">
        <v>677</v>
      </c>
      <c r="L138" t="s">
        <v>672</v>
      </c>
      <c r="M138" t="s">
        <v>672</v>
      </c>
      <c r="N138" t="s">
        <v>672</v>
      </c>
      <c r="O138" t="s">
        <v>705</v>
      </c>
      <c r="P138" t="s">
        <v>672</v>
      </c>
      <c r="Q138" t="s">
        <v>672</v>
      </c>
      <c r="R138" t="s">
        <v>672</v>
      </c>
      <c r="T138">
        <v>54</v>
      </c>
      <c r="U138" t="s">
        <v>673</v>
      </c>
      <c r="V138" t="s">
        <v>672</v>
      </c>
      <c r="W138" t="s">
        <v>672</v>
      </c>
      <c r="X138" t="s">
        <v>846</v>
      </c>
      <c r="Y138" t="s">
        <v>672</v>
      </c>
      <c r="Z138" s="1">
        <v>44216</v>
      </c>
      <c r="AA138">
        <v>1</v>
      </c>
      <c r="AB138" t="s">
        <v>672</v>
      </c>
      <c r="AC138" t="s">
        <v>672</v>
      </c>
      <c r="AD138" t="s">
        <v>672</v>
      </c>
      <c r="AE138" t="s">
        <v>672</v>
      </c>
      <c r="AF138" t="s">
        <v>672</v>
      </c>
      <c r="AG138" t="s">
        <v>672</v>
      </c>
      <c r="AH138" t="s">
        <v>672</v>
      </c>
      <c r="AI138" t="s">
        <v>672</v>
      </c>
      <c r="AJ138" t="s">
        <v>672</v>
      </c>
      <c r="AK138" t="s">
        <v>672</v>
      </c>
      <c r="AL138" t="s">
        <v>672</v>
      </c>
      <c r="AM138" t="s">
        <v>672</v>
      </c>
      <c r="AN138" t="s">
        <v>672</v>
      </c>
      <c r="AO138" t="s">
        <v>672</v>
      </c>
      <c r="AP138">
        <v>3</v>
      </c>
      <c r="AQ138">
        <v>1</v>
      </c>
      <c r="AR138" t="s">
        <v>672</v>
      </c>
      <c r="AS138">
        <v>1</v>
      </c>
      <c r="AT138">
        <v>1</v>
      </c>
    </row>
    <row r="139" spans="1:46">
      <c r="A139" t="s">
        <v>219</v>
      </c>
      <c r="B139">
        <v>139</v>
      </c>
      <c r="C139" t="s">
        <v>1205</v>
      </c>
      <c r="D139" t="s">
        <v>672</v>
      </c>
      <c r="E139" t="s">
        <v>672</v>
      </c>
      <c r="F139" t="s">
        <v>672</v>
      </c>
      <c r="G139" t="s">
        <v>1206</v>
      </c>
      <c r="H139" t="s">
        <v>1207</v>
      </c>
      <c r="I139" t="s">
        <v>672</v>
      </c>
      <c r="J139" t="s">
        <v>704</v>
      </c>
      <c r="K139" t="s">
        <v>677</v>
      </c>
      <c r="L139" t="s">
        <v>672</v>
      </c>
      <c r="M139" t="s">
        <v>672</v>
      </c>
      <c r="N139" t="s">
        <v>672</v>
      </c>
      <c r="O139" t="s">
        <v>742</v>
      </c>
      <c r="P139" t="s">
        <v>672</v>
      </c>
      <c r="Q139" t="s">
        <v>672</v>
      </c>
      <c r="R139" t="s">
        <v>672</v>
      </c>
      <c r="S139">
        <v>748879515</v>
      </c>
      <c r="T139">
        <v>54</v>
      </c>
      <c r="U139" t="s">
        <v>673</v>
      </c>
      <c r="V139" t="s">
        <v>672</v>
      </c>
      <c r="W139" t="s">
        <v>672</v>
      </c>
      <c r="X139" t="s">
        <v>846</v>
      </c>
      <c r="Y139" t="s">
        <v>672</v>
      </c>
      <c r="Z139" s="1">
        <v>44224</v>
      </c>
      <c r="AA139">
        <v>1</v>
      </c>
      <c r="AB139" t="s">
        <v>672</v>
      </c>
      <c r="AC139" t="s">
        <v>672</v>
      </c>
      <c r="AD139" t="s">
        <v>672</v>
      </c>
      <c r="AE139" t="s">
        <v>672</v>
      </c>
      <c r="AF139" t="s">
        <v>672</v>
      </c>
      <c r="AG139" t="s">
        <v>672</v>
      </c>
      <c r="AH139" t="s">
        <v>672</v>
      </c>
      <c r="AI139" t="s">
        <v>672</v>
      </c>
      <c r="AJ139" t="s">
        <v>672</v>
      </c>
      <c r="AK139" t="s">
        <v>672</v>
      </c>
      <c r="AL139" t="s">
        <v>672</v>
      </c>
      <c r="AM139" t="s">
        <v>672</v>
      </c>
      <c r="AN139" t="s">
        <v>672</v>
      </c>
      <c r="AO139" t="s">
        <v>672</v>
      </c>
      <c r="AP139">
        <v>3</v>
      </c>
      <c r="AQ139">
        <v>1</v>
      </c>
      <c r="AR139" t="s">
        <v>672</v>
      </c>
      <c r="AS139">
        <v>1</v>
      </c>
      <c r="AT139">
        <v>1</v>
      </c>
    </row>
    <row r="140" spans="1:46">
      <c r="A140" t="s">
        <v>203</v>
      </c>
      <c r="B140">
        <v>140</v>
      </c>
      <c r="C140" t="s">
        <v>1208</v>
      </c>
      <c r="D140" t="s">
        <v>672</v>
      </c>
      <c r="E140" t="s">
        <v>672</v>
      </c>
      <c r="F140" t="s">
        <v>672</v>
      </c>
      <c r="G140" t="s">
        <v>1209</v>
      </c>
      <c r="H140" t="s">
        <v>1210</v>
      </c>
      <c r="I140" t="s">
        <v>672</v>
      </c>
      <c r="J140" t="s">
        <v>704</v>
      </c>
      <c r="K140" t="s">
        <v>677</v>
      </c>
      <c r="L140" t="s">
        <v>672</v>
      </c>
      <c r="M140" t="s">
        <v>672</v>
      </c>
      <c r="N140" t="s">
        <v>672</v>
      </c>
      <c r="O140" t="s">
        <v>687</v>
      </c>
      <c r="P140" t="s">
        <v>672</v>
      </c>
      <c r="Q140" t="s">
        <v>672</v>
      </c>
      <c r="R140" t="s">
        <v>672</v>
      </c>
      <c r="S140">
        <v>708115018</v>
      </c>
      <c r="T140">
        <v>54</v>
      </c>
      <c r="U140" t="s">
        <v>673</v>
      </c>
      <c r="V140" t="s">
        <v>672</v>
      </c>
      <c r="W140" t="s">
        <v>672</v>
      </c>
      <c r="X140" t="s">
        <v>855</v>
      </c>
      <c r="Y140" t="s">
        <v>672</v>
      </c>
      <c r="Z140" s="1">
        <v>44224</v>
      </c>
      <c r="AA140">
        <v>1</v>
      </c>
      <c r="AB140" t="s">
        <v>672</v>
      </c>
      <c r="AC140" t="s">
        <v>672</v>
      </c>
      <c r="AD140" t="s">
        <v>672</v>
      </c>
      <c r="AE140" t="s">
        <v>672</v>
      </c>
      <c r="AF140" t="s">
        <v>672</v>
      </c>
      <c r="AG140" t="s">
        <v>672</v>
      </c>
      <c r="AH140" t="s">
        <v>672</v>
      </c>
      <c r="AI140" t="s">
        <v>672</v>
      </c>
      <c r="AJ140" t="s">
        <v>672</v>
      </c>
      <c r="AK140" t="s">
        <v>672</v>
      </c>
      <c r="AL140" t="s">
        <v>672</v>
      </c>
      <c r="AM140" t="s">
        <v>672</v>
      </c>
      <c r="AN140" t="s">
        <v>672</v>
      </c>
      <c r="AO140" t="s">
        <v>672</v>
      </c>
      <c r="AP140">
        <v>3</v>
      </c>
      <c r="AQ140">
        <v>1</v>
      </c>
      <c r="AR140" t="s">
        <v>672</v>
      </c>
      <c r="AS140">
        <v>1</v>
      </c>
      <c r="AT140">
        <v>1</v>
      </c>
    </row>
    <row r="141" spans="1:46">
      <c r="A141" t="s">
        <v>187</v>
      </c>
      <c r="B141">
        <v>141</v>
      </c>
      <c r="C141" t="s">
        <v>1211</v>
      </c>
      <c r="D141" t="s">
        <v>672</v>
      </c>
      <c r="E141" t="s">
        <v>672</v>
      </c>
      <c r="F141" t="s">
        <v>672</v>
      </c>
      <c r="G141" t="s">
        <v>1213</v>
      </c>
      <c r="H141" t="s">
        <v>1214</v>
      </c>
      <c r="I141" t="s">
        <v>672</v>
      </c>
      <c r="J141" t="s">
        <v>676</v>
      </c>
      <c r="K141" t="s">
        <v>677</v>
      </c>
      <c r="L141" t="s">
        <v>672</v>
      </c>
      <c r="M141" t="s">
        <v>672</v>
      </c>
      <c r="N141" t="s">
        <v>672</v>
      </c>
      <c r="O141" t="s">
        <v>678</v>
      </c>
      <c r="P141" t="s">
        <v>672</v>
      </c>
      <c r="Q141" t="s">
        <v>672</v>
      </c>
      <c r="R141" t="s">
        <v>672</v>
      </c>
      <c r="T141">
        <v>54</v>
      </c>
      <c r="U141" t="s">
        <v>673</v>
      </c>
      <c r="V141" t="s">
        <v>672</v>
      </c>
      <c r="W141" t="s">
        <v>672</v>
      </c>
      <c r="X141" t="s">
        <v>1212</v>
      </c>
      <c r="Y141" t="s">
        <v>672</v>
      </c>
      <c r="Z141" s="1">
        <v>44222</v>
      </c>
      <c r="AA141">
        <v>1</v>
      </c>
      <c r="AB141" t="s">
        <v>672</v>
      </c>
      <c r="AC141" t="s">
        <v>672</v>
      </c>
      <c r="AD141" t="s">
        <v>672</v>
      </c>
      <c r="AE141" t="s">
        <v>672</v>
      </c>
      <c r="AF141" t="s">
        <v>672</v>
      </c>
      <c r="AG141" t="s">
        <v>672</v>
      </c>
      <c r="AH141" t="s">
        <v>672</v>
      </c>
      <c r="AI141" t="s">
        <v>672</v>
      </c>
      <c r="AJ141" t="s">
        <v>672</v>
      </c>
      <c r="AK141" t="s">
        <v>672</v>
      </c>
      <c r="AL141" t="s">
        <v>672</v>
      </c>
      <c r="AM141" t="s">
        <v>672</v>
      </c>
      <c r="AN141" t="s">
        <v>672</v>
      </c>
      <c r="AO141" t="s">
        <v>672</v>
      </c>
      <c r="AP141">
        <v>3</v>
      </c>
      <c r="AQ141">
        <v>1</v>
      </c>
      <c r="AR141" t="s">
        <v>672</v>
      </c>
      <c r="AS141">
        <v>1</v>
      </c>
      <c r="AT141">
        <v>1</v>
      </c>
    </row>
    <row r="142" spans="1:46">
      <c r="A142" t="s">
        <v>156</v>
      </c>
      <c r="B142">
        <v>142</v>
      </c>
      <c r="C142" t="s">
        <v>1215</v>
      </c>
      <c r="D142" t="s">
        <v>672</v>
      </c>
      <c r="E142" t="s">
        <v>2150</v>
      </c>
      <c r="F142" t="s">
        <v>2127</v>
      </c>
      <c r="G142" t="s">
        <v>1219</v>
      </c>
      <c r="H142" t="s">
        <v>1220</v>
      </c>
      <c r="I142" t="s">
        <v>1218</v>
      </c>
      <c r="J142" t="s">
        <v>704</v>
      </c>
      <c r="K142" t="s">
        <v>677</v>
      </c>
      <c r="L142" t="s">
        <v>1221</v>
      </c>
      <c r="M142" t="s">
        <v>681</v>
      </c>
      <c r="N142" t="s">
        <v>681</v>
      </c>
      <c r="O142" t="s">
        <v>1222</v>
      </c>
      <c r="P142" t="s">
        <v>681</v>
      </c>
      <c r="Q142" s="2">
        <v>1000000</v>
      </c>
      <c r="S142">
        <v>708759006</v>
      </c>
      <c r="T142">
        <v>54</v>
      </c>
      <c r="U142" t="s">
        <v>673</v>
      </c>
      <c r="V142" t="s">
        <v>1217</v>
      </c>
      <c r="X142" t="s">
        <v>1216</v>
      </c>
      <c r="Z142" s="1">
        <v>44265</v>
      </c>
      <c r="AA142">
        <v>1</v>
      </c>
      <c r="AB142" t="s">
        <v>672</v>
      </c>
      <c r="AC142" t="s">
        <v>672</v>
      </c>
      <c r="AG142">
        <v>0</v>
      </c>
      <c r="AL142">
        <v>0</v>
      </c>
      <c r="AM142" t="s">
        <v>672</v>
      </c>
      <c r="AN142" t="s">
        <v>672</v>
      </c>
      <c r="AO142" t="s">
        <v>672</v>
      </c>
      <c r="AP142">
        <v>0</v>
      </c>
      <c r="AQ142">
        <v>1</v>
      </c>
      <c r="AR142" t="s">
        <v>672</v>
      </c>
      <c r="AS142">
        <v>1</v>
      </c>
      <c r="AT142">
        <v>1</v>
      </c>
    </row>
    <row r="143" spans="1:46">
      <c r="A143" t="s">
        <v>152</v>
      </c>
      <c r="B143">
        <v>143</v>
      </c>
      <c r="C143" t="s">
        <v>153</v>
      </c>
      <c r="D143" t="s">
        <v>672</v>
      </c>
      <c r="E143" t="s">
        <v>672</v>
      </c>
      <c r="F143" t="s">
        <v>672</v>
      </c>
      <c r="G143" t="s">
        <v>1223</v>
      </c>
      <c r="H143" t="s">
        <v>1224</v>
      </c>
      <c r="I143" t="s">
        <v>672</v>
      </c>
      <c r="J143" t="s">
        <v>704</v>
      </c>
      <c r="K143" t="s">
        <v>1135</v>
      </c>
      <c r="L143" t="s">
        <v>672</v>
      </c>
      <c r="M143" t="s">
        <v>672</v>
      </c>
      <c r="N143" t="s">
        <v>672</v>
      </c>
      <c r="O143" t="s">
        <v>798</v>
      </c>
      <c r="P143" t="s">
        <v>672</v>
      </c>
      <c r="Q143" t="s">
        <v>672</v>
      </c>
      <c r="R143" t="s">
        <v>672</v>
      </c>
      <c r="S143">
        <v>789843555</v>
      </c>
      <c r="T143">
        <v>54</v>
      </c>
      <c r="U143" t="s">
        <v>673</v>
      </c>
      <c r="V143" t="s">
        <v>672</v>
      </c>
      <c r="W143" t="s">
        <v>672</v>
      </c>
      <c r="X143" t="s">
        <v>843</v>
      </c>
      <c r="Y143" t="s">
        <v>672</v>
      </c>
      <c r="Z143" s="1">
        <v>44592</v>
      </c>
      <c r="AA143">
        <v>1</v>
      </c>
      <c r="AB143" t="s">
        <v>672</v>
      </c>
      <c r="AC143" t="s">
        <v>672</v>
      </c>
      <c r="AD143" t="s">
        <v>672</v>
      </c>
      <c r="AE143" t="s">
        <v>672</v>
      </c>
      <c r="AF143" t="s">
        <v>672</v>
      </c>
      <c r="AG143" t="s">
        <v>672</v>
      </c>
      <c r="AH143" t="s">
        <v>672</v>
      </c>
      <c r="AI143" t="s">
        <v>672</v>
      </c>
      <c r="AJ143" t="s">
        <v>672</v>
      </c>
      <c r="AK143" t="s">
        <v>672</v>
      </c>
      <c r="AL143" t="s">
        <v>672</v>
      </c>
      <c r="AM143" t="s">
        <v>672</v>
      </c>
      <c r="AN143" t="s">
        <v>672</v>
      </c>
      <c r="AO143" t="s">
        <v>672</v>
      </c>
      <c r="AP143">
        <v>3</v>
      </c>
      <c r="AQ143">
        <v>1</v>
      </c>
      <c r="AR143" t="s">
        <v>672</v>
      </c>
      <c r="AS143">
        <v>1</v>
      </c>
      <c r="AT143">
        <v>1</v>
      </c>
    </row>
    <row r="144" spans="1:46">
      <c r="A144" t="s">
        <v>132</v>
      </c>
      <c r="B144">
        <v>144</v>
      </c>
      <c r="C144" t="s">
        <v>133</v>
      </c>
      <c r="D144" t="s">
        <v>672</v>
      </c>
      <c r="E144" t="s">
        <v>672</v>
      </c>
      <c r="F144" t="s">
        <v>672</v>
      </c>
      <c r="G144" t="s">
        <v>1226</v>
      </c>
      <c r="H144" t="s">
        <v>1227</v>
      </c>
      <c r="I144" t="s">
        <v>672</v>
      </c>
      <c r="J144" t="s">
        <v>704</v>
      </c>
      <c r="K144" t="s">
        <v>677</v>
      </c>
      <c r="L144" t="s">
        <v>672</v>
      </c>
      <c r="M144" t="s">
        <v>672</v>
      </c>
      <c r="N144" t="s">
        <v>672</v>
      </c>
      <c r="O144" t="s">
        <v>692</v>
      </c>
      <c r="P144" t="s">
        <v>672</v>
      </c>
      <c r="Q144" t="s">
        <v>672</v>
      </c>
      <c r="R144" t="s">
        <v>672</v>
      </c>
      <c r="S144">
        <v>707181804</v>
      </c>
      <c r="T144">
        <v>54</v>
      </c>
      <c r="U144" t="s">
        <v>673</v>
      </c>
      <c r="V144" t="s">
        <v>672</v>
      </c>
      <c r="W144" t="s">
        <v>672</v>
      </c>
      <c r="X144" t="s">
        <v>1225</v>
      </c>
      <c r="Y144" t="s">
        <v>672</v>
      </c>
      <c r="Z144" s="1">
        <v>44224</v>
      </c>
      <c r="AA144">
        <v>1</v>
      </c>
      <c r="AB144" t="s">
        <v>672</v>
      </c>
      <c r="AC144" t="s">
        <v>672</v>
      </c>
      <c r="AD144" t="s">
        <v>672</v>
      </c>
      <c r="AE144" t="s">
        <v>672</v>
      </c>
      <c r="AF144" t="s">
        <v>672</v>
      </c>
      <c r="AG144" t="s">
        <v>672</v>
      </c>
      <c r="AH144" t="s">
        <v>672</v>
      </c>
      <c r="AI144" t="s">
        <v>672</v>
      </c>
      <c r="AJ144" t="s">
        <v>672</v>
      </c>
      <c r="AK144" t="s">
        <v>672</v>
      </c>
      <c r="AL144" t="s">
        <v>672</v>
      </c>
      <c r="AM144" t="s">
        <v>672</v>
      </c>
      <c r="AN144" t="s">
        <v>672</v>
      </c>
      <c r="AO144" t="s">
        <v>672</v>
      </c>
      <c r="AP144">
        <v>3</v>
      </c>
      <c r="AQ144">
        <v>1</v>
      </c>
      <c r="AR144" t="s">
        <v>672</v>
      </c>
      <c r="AS144">
        <v>1</v>
      </c>
      <c r="AT144">
        <v>1</v>
      </c>
    </row>
    <row r="145" spans="1:46">
      <c r="A145" t="s">
        <v>116</v>
      </c>
      <c r="B145">
        <v>145</v>
      </c>
      <c r="C145" t="s">
        <v>117</v>
      </c>
      <c r="D145" t="s">
        <v>672</v>
      </c>
      <c r="E145" t="s">
        <v>672</v>
      </c>
      <c r="F145" t="s">
        <v>672</v>
      </c>
      <c r="G145" t="s">
        <v>1228</v>
      </c>
      <c r="H145" t="s">
        <v>1229</v>
      </c>
      <c r="I145" t="s">
        <v>672</v>
      </c>
      <c r="J145" t="s">
        <v>704</v>
      </c>
      <c r="K145" t="s">
        <v>677</v>
      </c>
      <c r="L145" t="s">
        <v>672</v>
      </c>
      <c r="M145" t="s">
        <v>672</v>
      </c>
      <c r="N145" t="s">
        <v>672</v>
      </c>
      <c r="O145" t="s">
        <v>687</v>
      </c>
      <c r="P145" t="s">
        <v>672</v>
      </c>
      <c r="Q145" t="s">
        <v>672</v>
      </c>
      <c r="R145" t="s">
        <v>672</v>
      </c>
      <c r="S145">
        <v>506898900</v>
      </c>
      <c r="T145">
        <v>54</v>
      </c>
      <c r="U145" t="s">
        <v>673</v>
      </c>
      <c r="V145" t="s">
        <v>672</v>
      </c>
      <c r="W145" t="s">
        <v>672</v>
      </c>
      <c r="X145" t="s">
        <v>770</v>
      </c>
      <c r="Y145" t="s">
        <v>672</v>
      </c>
      <c r="Z145" s="1">
        <v>44224</v>
      </c>
      <c r="AA145">
        <v>1</v>
      </c>
      <c r="AB145" t="s">
        <v>672</v>
      </c>
      <c r="AC145" t="s">
        <v>672</v>
      </c>
      <c r="AD145" t="s">
        <v>672</v>
      </c>
      <c r="AE145" t="s">
        <v>672</v>
      </c>
      <c r="AF145" t="s">
        <v>672</v>
      </c>
      <c r="AG145" t="s">
        <v>672</v>
      </c>
      <c r="AH145" t="s">
        <v>672</v>
      </c>
      <c r="AI145" t="s">
        <v>672</v>
      </c>
      <c r="AJ145" t="s">
        <v>672</v>
      </c>
      <c r="AK145" t="s">
        <v>672</v>
      </c>
      <c r="AL145" t="s">
        <v>672</v>
      </c>
      <c r="AM145" t="s">
        <v>672</v>
      </c>
      <c r="AN145" t="s">
        <v>672</v>
      </c>
      <c r="AO145" t="s">
        <v>672</v>
      </c>
      <c r="AP145">
        <v>3</v>
      </c>
      <c r="AQ145">
        <v>1</v>
      </c>
      <c r="AR145" t="s">
        <v>672</v>
      </c>
      <c r="AS145">
        <v>1</v>
      </c>
      <c r="AT145">
        <v>1</v>
      </c>
    </row>
    <row r="146" spans="1:46">
      <c r="A146" t="s">
        <v>78</v>
      </c>
      <c r="B146">
        <v>146</v>
      </c>
      <c r="C146" t="s">
        <v>1230</v>
      </c>
      <c r="D146" t="s">
        <v>672</v>
      </c>
      <c r="E146" t="s">
        <v>672</v>
      </c>
      <c r="F146" t="s">
        <v>672</v>
      </c>
      <c r="G146" t="s">
        <v>1231</v>
      </c>
      <c r="H146" t="s">
        <v>1232</v>
      </c>
      <c r="I146" t="s">
        <v>672</v>
      </c>
      <c r="J146" t="s">
        <v>704</v>
      </c>
      <c r="K146" t="s">
        <v>677</v>
      </c>
      <c r="L146" t="s">
        <v>672</v>
      </c>
      <c r="M146" t="s">
        <v>672</v>
      </c>
      <c r="N146" t="s">
        <v>672</v>
      </c>
      <c r="O146" t="s">
        <v>705</v>
      </c>
      <c r="P146" t="s">
        <v>672</v>
      </c>
      <c r="Q146" t="s">
        <v>672</v>
      </c>
      <c r="R146" t="s">
        <v>672</v>
      </c>
      <c r="S146">
        <v>747755863</v>
      </c>
      <c r="T146">
        <v>54</v>
      </c>
      <c r="U146" t="s">
        <v>673</v>
      </c>
      <c r="V146" t="s">
        <v>672</v>
      </c>
      <c r="W146" t="s">
        <v>672</v>
      </c>
      <c r="X146" t="s">
        <v>2151</v>
      </c>
      <c r="Y146" t="s">
        <v>672</v>
      </c>
      <c r="Z146" s="1">
        <v>44224</v>
      </c>
      <c r="AA146">
        <v>1</v>
      </c>
      <c r="AB146" t="s">
        <v>672</v>
      </c>
      <c r="AC146" t="s">
        <v>672</v>
      </c>
      <c r="AD146" t="s">
        <v>672</v>
      </c>
      <c r="AE146" t="s">
        <v>672</v>
      </c>
      <c r="AF146" t="s">
        <v>672</v>
      </c>
      <c r="AG146" t="s">
        <v>672</v>
      </c>
      <c r="AH146" t="s">
        <v>672</v>
      </c>
      <c r="AI146" t="s">
        <v>672</v>
      </c>
      <c r="AJ146" t="s">
        <v>672</v>
      </c>
      <c r="AK146" t="s">
        <v>672</v>
      </c>
      <c r="AL146" t="s">
        <v>672</v>
      </c>
      <c r="AM146" t="s">
        <v>672</v>
      </c>
      <c r="AN146" t="s">
        <v>672</v>
      </c>
      <c r="AO146" t="s">
        <v>672</v>
      </c>
      <c r="AP146">
        <v>3</v>
      </c>
      <c r="AQ146">
        <v>1</v>
      </c>
      <c r="AR146" t="s">
        <v>672</v>
      </c>
      <c r="AS146">
        <v>1</v>
      </c>
      <c r="AT146">
        <v>1</v>
      </c>
    </row>
    <row r="147" spans="1:46">
      <c r="A147" t="s">
        <v>1234</v>
      </c>
      <c r="B147">
        <v>147</v>
      </c>
      <c r="C147" t="s">
        <v>1233</v>
      </c>
      <c r="D147" t="s">
        <v>672</v>
      </c>
      <c r="E147" t="s">
        <v>672</v>
      </c>
      <c r="F147" t="s">
        <v>672</v>
      </c>
      <c r="G147" t="s">
        <v>1235</v>
      </c>
      <c r="H147" t="s">
        <v>1214</v>
      </c>
      <c r="I147" t="s">
        <v>672</v>
      </c>
      <c r="J147" t="s">
        <v>704</v>
      </c>
      <c r="K147" t="s">
        <v>677</v>
      </c>
      <c r="L147" t="s">
        <v>672</v>
      </c>
      <c r="M147" t="s">
        <v>672</v>
      </c>
      <c r="N147" t="s">
        <v>672</v>
      </c>
      <c r="O147" t="s">
        <v>678</v>
      </c>
      <c r="P147" t="s">
        <v>672</v>
      </c>
      <c r="Q147" t="s">
        <v>672</v>
      </c>
      <c r="R147" t="s">
        <v>672</v>
      </c>
      <c r="T147">
        <v>54</v>
      </c>
      <c r="U147" t="s">
        <v>673</v>
      </c>
      <c r="V147" t="s">
        <v>672</v>
      </c>
      <c r="W147" t="s">
        <v>672</v>
      </c>
      <c r="Y147" t="s">
        <v>672</v>
      </c>
      <c r="Z147" s="1">
        <v>44222</v>
      </c>
      <c r="AA147">
        <v>1</v>
      </c>
      <c r="AB147" t="s">
        <v>672</v>
      </c>
      <c r="AC147" t="s">
        <v>672</v>
      </c>
      <c r="AD147" t="s">
        <v>672</v>
      </c>
      <c r="AE147" t="s">
        <v>672</v>
      </c>
      <c r="AF147" t="s">
        <v>672</v>
      </c>
      <c r="AG147" t="s">
        <v>672</v>
      </c>
      <c r="AH147" t="s">
        <v>672</v>
      </c>
      <c r="AI147" t="s">
        <v>672</v>
      </c>
      <c r="AJ147" t="s">
        <v>672</v>
      </c>
      <c r="AK147" t="s">
        <v>672</v>
      </c>
      <c r="AL147" t="s">
        <v>672</v>
      </c>
      <c r="AM147" t="s">
        <v>672</v>
      </c>
      <c r="AN147" t="s">
        <v>672</v>
      </c>
      <c r="AO147" t="s">
        <v>672</v>
      </c>
      <c r="AP147">
        <v>3</v>
      </c>
      <c r="AQ147">
        <v>1</v>
      </c>
      <c r="AR147" t="s">
        <v>672</v>
      </c>
      <c r="AS147">
        <v>1</v>
      </c>
      <c r="AT147">
        <v>1</v>
      </c>
    </row>
    <row r="148" spans="1:46">
      <c r="A148" t="s">
        <v>74</v>
      </c>
      <c r="B148">
        <v>148</v>
      </c>
      <c r="C148" t="s">
        <v>75</v>
      </c>
      <c r="D148" t="s">
        <v>672</v>
      </c>
      <c r="E148" t="s">
        <v>672</v>
      </c>
      <c r="F148" t="s">
        <v>672</v>
      </c>
      <c r="G148" t="s">
        <v>1237</v>
      </c>
      <c r="H148" t="s">
        <v>1238</v>
      </c>
      <c r="I148" t="s">
        <v>672</v>
      </c>
      <c r="J148" t="s">
        <v>676</v>
      </c>
      <c r="K148" t="s">
        <v>677</v>
      </c>
      <c r="L148" t="s">
        <v>672</v>
      </c>
      <c r="M148" t="s">
        <v>672</v>
      </c>
      <c r="N148" t="s">
        <v>672</v>
      </c>
      <c r="O148" t="s">
        <v>705</v>
      </c>
      <c r="P148" t="s">
        <v>672</v>
      </c>
      <c r="Q148" t="s">
        <v>672</v>
      </c>
      <c r="R148" t="s">
        <v>672</v>
      </c>
      <c r="S148">
        <v>707347436</v>
      </c>
      <c r="T148">
        <v>54</v>
      </c>
      <c r="U148" t="s">
        <v>673</v>
      </c>
      <c r="V148" t="s">
        <v>672</v>
      </c>
      <c r="W148" t="s">
        <v>672</v>
      </c>
      <c r="X148" t="s">
        <v>1236</v>
      </c>
      <c r="Y148" t="s">
        <v>672</v>
      </c>
      <c r="Z148" s="1">
        <v>43871</v>
      </c>
      <c r="AA148">
        <v>1</v>
      </c>
      <c r="AB148" t="s">
        <v>672</v>
      </c>
      <c r="AC148" t="s">
        <v>672</v>
      </c>
      <c r="AD148" t="s">
        <v>672</v>
      </c>
      <c r="AE148" t="s">
        <v>672</v>
      </c>
      <c r="AF148" t="s">
        <v>672</v>
      </c>
      <c r="AG148" t="s">
        <v>672</v>
      </c>
      <c r="AH148" t="s">
        <v>672</v>
      </c>
      <c r="AI148" t="s">
        <v>672</v>
      </c>
      <c r="AJ148" t="s">
        <v>672</v>
      </c>
      <c r="AK148" t="s">
        <v>672</v>
      </c>
      <c r="AL148" t="s">
        <v>672</v>
      </c>
      <c r="AM148" t="s">
        <v>672</v>
      </c>
      <c r="AN148" t="s">
        <v>672</v>
      </c>
      <c r="AO148" t="s">
        <v>672</v>
      </c>
      <c r="AP148">
        <v>3</v>
      </c>
      <c r="AQ148">
        <v>1</v>
      </c>
      <c r="AR148" t="s">
        <v>672</v>
      </c>
      <c r="AS148">
        <v>1</v>
      </c>
      <c r="AT148">
        <v>1</v>
      </c>
    </row>
    <row r="149" spans="1:46">
      <c r="A149" t="s">
        <v>68</v>
      </c>
      <c r="B149">
        <v>149</v>
      </c>
      <c r="C149" t="s">
        <v>69</v>
      </c>
      <c r="D149" t="s">
        <v>672</v>
      </c>
      <c r="E149" t="s">
        <v>672</v>
      </c>
      <c r="F149" t="s">
        <v>672</v>
      </c>
      <c r="G149" t="s">
        <v>1240</v>
      </c>
      <c r="H149" t="s">
        <v>1241</v>
      </c>
      <c r="I149" t="s">
        <v>672</v>
      </c>
      <c r="J149" t="s">
        <v>704</v>
      </c>
      <c r="K149" t="s">
        <v>677</v>
      </c>
      <c r="L149" t="s">
        <v>672</v>
      </c>
      <c r="M149" t="s">
        <v>672</v>
      </c>
      <c r="N149" t="s">
        <v>672</v>
      </c>
      <c r="O149" t="s">
        <v>798</v>
      </c>
      <c r="P149" t="s">
        <v>672</v>
      </c>
      <c r="Q149" t="s">
        <v>672</v>
      </c>
      <c r="R149" t="s">
        <v>672</v>
      </c>
      <c r="S149">
        <v>767552335</v>
      </c>
      <c r="T149">
        <v>54</v>
      </c>
      <c r="U149" t="s">
        <v>673</v>
      </c>
      <c r="V149" t="s">
        <v>672</v>
      </c>
      <c r="W149" t="s">
        <v>672</v>
      </c>
      <c r="X149" t="s">
        <v>1239</v>
      </c>
      <c r="Y149" t="s">
        <v>672</v>
      </c>
      <c r="Z149" s="1">
        <v>44224</v>
      </c>
      <c r="AA149">
        <v>1</v>
      </c>
      <c r="AB149" t="s">
        <v>672</v>
      </c>
      <c r="AC149" t="s">
        <v>672</v>
      </c>
      <c r="AD149" t="s">
        <v>672</v>
      </c>
      <c r="AE149" t="s">
        <v>672</v>
      </c>
      <c r="AF149" t="s">
        <v>672</v>
      </c>
      <c r="AG149" t="s">
        <v>672</v>
      </c>
      <c r="AH149" t="s">
        <v>672</v>
      </c>
      <c r="AI149" t="s">
        <v>672</v>
      </c>
      <c r="AJ149" t="s">
        <v>672</v>
      </c>
      <c r="AK149" t="s">
        <v>672</v>
      </c>
      <c r="AL149" t="s">
        <v>672</v>
      </c>
      <c r="AM149" t="s">
        <v>672</v>
      </c>
      <c r="AN149" t="s">
        <v>672</v>
      </c>
      <c r="AO149" t="s">
        <v>672</v>
      </c>
      <c r="AP149">
        <v>3</v>
      </c>
      <c r="AQ149">
        <v>1</v>
      </c>
      <c r="AR149" t="s">
        <v>672</v>
      </c>
      <c r="AS149">
        <v>1</v>
      </c>
      <c r="AT149">
        <v>1</v>
      </c>
    </row>
    <row r="150" spans="1:46">
      <c r="A150" t="s">
        <v>52</v>
      </c>
      <c r="B150">
        <v>150</v>
      </c>
      <c r="C150" t="s">
        <v>1242</v>
      </c>
      <c r="D150" t="s">
        <v>672</v>
      </c>
      <c r="E150" t="s">
        <v>672</v>
      </c>
      <c r="F150" t="s">
        <v>672</v>
      </c>
      <c r="G150" t="s">
        <v>1244</v>
      </c>
      <c r="H150" t="s">
        <v>1245</v>
      </c>
      <c r="I150" t="s">
        <v>672</v>
      </c>
      <c r="J150" t="s">
        <v>676</v>
      </c>
      <c r="K150" t="s">
        <v>677</v>
      </c>
      <c r="L150" t="s">
        <v>672</v>
      </c>
      <c r="M150" t="s">
        <v>672</v>
      </c>
      <c r="N150" t="s">
        <v>672</v>
      </c>
      <c r="O150" t="s">
        <v>687</v>
      </c>
      <c r="P150" t="s">
        <v>672</v>
      </c>
      <c r="Q150" t="s">
        <v>672</v>
      </c>
      <c r="R150" t="s">
        <v>672</v>
      </c>
      <c r="S150">
        <v>2722426745</v>
      </c>
      <c r="T150">
        <v>54</v>
      </c>
      <c r="U150" t="s">
        <v>673</v>
      </c>
      <c r="V150" t="s">
        <v>672</v>
      </c>
      <c r="W150" t="s">
        <v>672</v>
      </c>
      <c r="X150" t="s">
        <v>1243</v>
      </c>
      <c r="Y150" t="s">
        <v>672</v>
      </c>
      <c r="Z150" s="1">
        <v>44589</v>
      </c>
      <c r="AA150">
        <v>1</v>
      </c>
      <c r="AB150" t="s">
        <v>672</v>
      </c>
      <c r="AC150" t="s">
        <v>672</v>
      </c>
      <c r="AD150" t="s">
        <v>672</v>
      </c>
      <c r="AE150" t="s">
        <v>672</v>
      </c>
      <c r="AF150" t="s">
        <v>672</v>
      </c>
      <c r="AG150" t="s">
        <v>672</v>
      </c>
      <c r="AH150" t="s">
        <v>672</v>
      </c>
      <c r="AI150" t="s">
        <v>672</v>
      </c>
      <c r="AJ150" t="s">
        <v>672</v>
      </c>
      <c r="AK150" t="s">
        <v>672</v>
      </c>
      <c r="AL150" t="s">
        <v>672</v>
      </c>
      <c r="AM150" t="s">
        <v>672</v>
      </c>
      <c r="AN150" t="s">
        <v>672</v>
      </c>
      <c r="AO150" t="s">
        <v>672</v>
      </c>
      <c r="AP150">
        <v>3</v>
      </c>
      <c r="AQ150">
        <v>1</v>
      </c>
      <c r="AR150" t="s">
        <v>672</v>
      </c>
      <c r="AS150">
        <v>1</v>
      </c>
      <c r="AT150">
        <v>1</v>
      </c>
    </row>
    <row r="151" spans="1:46">
      <c r="A151" t="s">
        <v>44</v>
      </c>
      <c r="B151">
        <v>151</v>
      </c>
      <c r="C151" t="s">
        <v>45</v>
      </c>
      <c r="D151" t="s">
        <v>672</v>
      </c>
      <c r="E151" t="s">
        <v>672</v>
      </c>
      <c r="F151" t="s">
        <v>672</v>
      </c>
      <c r="G151" t="s">
        <v>1247</v>
      </c>
      <c r="H151" t="s">
        <v>1248</v>
      </c>
      <c r="I151" t="s">
        <v>672</v>
      </c>
      <c r="J151" t="s">
        <v>704</v>
      </c>
      <c r="K151" t="s">
        <v>677</v>
      </c>
      <c r="L151" t="s">
        <v>672</v>
      </c>
      <c r="M151" t="s">
        <v>672</v>
      </c>
      <c r="N151" t="s">
        <v>672</v>
      </c>
      <c r="O151" t="s">
        <v>742</v>
      </c>
      <c r="P151" t="s">
        <v>672</v>
      </c>
      <c r="Q151" t="s">
        <v>672</v>
      </c>
      <c r="R151" t="s">
        <v>672</v>
      </c>
      <c r="S151">
        <v>757417993</v>
      </c>
      <c r="T151">
        <v>54</v>
      </c>
      <c r="U151" t="s">
        <v>673</v>
      </c>
      <c r="V151" t="s">
        <v>672</v>
      </c>
      <c r="W151" t="s">
        <v>672</v>
      </c>
      <c r="X151" t="s">
        <v>1246</v>
      </c>
      <c r="Y151" t="s">
        <v>672</v>
      </c>
      <c r="Z151" s="1">
        <v>44774</v>
      </c>
      <c r="AA151">
        <v>1</v>
      </c>
      <c r="AB151" t="s">
        <v>672</v>
      </c>
      <c r="AC151" t="s">
        <v>672</v>
      </c>
      <c r="AD151" t="s">
        <v>672</v>
      </c>
      <c r="AE151" t="s">
        <v>672</v>
      </c>
      <c r="AF151" t="s">
        <v>672</v>
      </c>
      <c r="AG151" t="s">
        <v>672</v>
      </c>
      <c r="AH151" t="s">
        <v>672</v>
      </c>
      <c r="AI151" t="s">
        <v>672</v>
      </c>
      <c r="AJ151" t="s">
        <v>672</v>
      </c>
      <c r="AK151" t="s">
        <v>672</v>
      </c>
      <c r="AL151" t="s">
        <v>672</v>
      </c>
      <c r="AM151" t="s">
        <v>672</v>
      </c>
      <c r="AN151" t="s">
        <v>672</v>
      </c>
      <c r="AO151" t="s">
        <v>672</v>
      </c>
      <c r="AP151">
        <v>3</v>
      </c>
      <c r="AQ151">
        <v>1</v>
      </c>
      <c r="AR151" t="s">
        <v>672</v>
      </c>
      <c r="AS151">
        <v>1</v>
      </c>
      <c r="AT151">
        <v>1</v>
      </c>
    </row>
    <row r="152" spans="1:46">
      <c r="A152" t="s">
        <v>40</v>
      </c>
      <c r="B152">
        <v>152</v>
      </c>
      <c r="C152" t="s">
        <v>1249</v>
      </c>
      <c r="D152" t="s">
        <v>672</v>
      </c>
      <c r="E152" t="s">
        <v>672</v>
      </c>
      <c r="F152" t="s">
        <v>672</v>
      </c>
      <c r="G152" t="s">
        <v>1251</v>
      </c>
      <c r="H152" t="s">
        <v>990</v>
      </c>
      <c r="I152" t="s">
        <v>672</v>
      </c>
      <c r="J152" t="s">
        <v>704</v>
      </c>
      <c r="K152" t="s">
        <v>677</v>
      </c>
      <c r="L152" t="s">
        <v>672</v>
      </c>
      <c r="M152" t="s">
        <v>672</v>
      </c>
      <c r="N152" t="s">
        <v>672</v>
      </c>
      <c r="O152" t="s">
        <v>705</v>
      </c>
      <c r="P152" t="s">
        <v>672</v>
      </c>
      <c r="Q152" t="s">
        <v>672</v>
      </c>
      <c r="R152" t="s">
        <v>672</v>
      </c>
      <c r="S152">
        <v>505423838</v>
      </c>
      <c r="T152">
        <v>54</v>
      </c>
      <c r="U152" t="s">
        <v>673</v>
      </c>
      <c r="V152" t="s">
        <v>672</v>
      </c>
      <c r="W152" t="s">
        <v>672</v>
      </c>
      <c r="X152" t="s">
        <v>1250</v>
      </c>
      <c r="Y152" t="s">
        <v>672</v>
      </c>
      <c r="Z152" s="1">
        <v>44592</v>
      </c>
      <c r="AA152">
        <v>1</v>
      </c>
      <c r="AB152" t="s">
        <v>672</v>
      </c>
      <c r="AC152" t="s">
        <v>672</v>
      </c>
      <c r="AD152" t="s">
        <v>672</v>
      </c>
      <c r="AE152" t="s">
        <v>672</v>
      </c>
      <c r="AF152" t="s">
        <v>672</v>
      </c>
      <c r="AG152" t="s">
        <v>672</v>
      </c>
      <c r="AH152" t="s">
        <v>672</v>
      </c>
      <c r="AI152" t="s">
        <v>672</v>
      </c>
      <c r="AJ152" t="s">
        <v>672</v>
      </c>
      <c r="AK152" t="s">
        <v>672</v>
      </c>
      <c r="AL152" t="s">
        <v>672</v>
      </c>
      <c r="AM152" t="s">
        <v>672</v>
      </c>
      <c r="AN152" t="s">
        <v>672</v>
      </c>
      <c r="AO152" t="s">
        <v>672</v>
      </c>
      <c r="AP152">
        <v>3</v>
      </c>
      <c r="AQ152">
        <v>1</v>
      </c>
      <c r="AR152" t="s">
        <v>672</v>
      </c>
      <c r="AS152">
        <v>1</v>
      </c>
      <c r="AT152">
        <v>1</v>
      </c>
    </row>
    <row r="153" spans="1:46">
      <c r="A153" t="s">
        <v>22</v>
      </c>
      <c r="B153">
        <v>153</v>
      </c>
      <c r="C153" t="s">
        <v>1252</v>
      </c>
      <c r="D153" t="s">
        <v>672</v>
      </c>
      <c r="E153" t="s">
        <v>672</v>
      </c>
      <c r="F153" t="s">
        <v>672</v>
      </c>
      <c r="G153" t="s">
        <v>1253</v>
      </c>
      <c r="H153" t="s">
        <v>1254</v>
      </c>
      <c r="I153" t="s">
        <v>672</v>
      </c>
      <c r="J153" t="s">
        <v>676</v>
      </c>
      <c r="K153" t="s">
        <v>677</v>
      </c>
      <c r="L153" t="s">
        <v>672</v>
      </c>
      <c r="M153" t="s">
        <v>672</v>
      </c>
      <c r="N153" t="s">
        <v>672</v>
      </c>
      <c r="O153" t="s">
        <v>705</v>
      </c>
      <c r="P153" t="s">
        <v>672</v>
      </c>
      <c r="Q153" t="s">
        <v>672</v>
      </c>
      <c r="R153" t="s">
        <v>672</v>
      </c>
      <c r="T153">
        <v>54</v>
      </c>
      <c r="U153" t="s">
        <v>673</v>
      </c>
      <c r="V153" t="s">
        <v>672</v>
      </c>
      <c r="W153" t="s">
        <v>672</v>
      </c>
      <c r="Y153" t="s">
        <v>672</v>
      </c>
      <c r="Z153" s="1">
        <v>44224</v>
      </c>
      <c r="AA153">
        <v>1</v>
      </c>
      <c r="AB153" t="s">
        <v>672</v>
      </c>
      <c r="AC153" t="s">
        <v>672</v>
      </c>
      <c r="AD153" t="s">
        <v>672</v>
      </c>
      <c r="AE153" t="s">
        <v>672</v>
      </c>
      <c r="AF153" t="s">
        <v>672</v>
      </c>
      <c r="AG153" t="s">
        <v>672</v>
      </c>
      <c r="AH153" t="s">
        <v>672</v>
      </c>
      <c r="AI153" t="s">
        <v>672</v>
      </c>
      <c r="AJ153" t="s">
        <v>672</v>
      </c>
      <c r="AK153" t="s">
        <v>672</v>
      </c>
      <c r="AL153" t="s">
        <v>672</v>
      </c>
      <c r="AM153" t="s">
        <v>672</v>
      </c>
      <c r="AN153" t="s">
        <v>672</v>
      </c>
      <c r="AO153" t="s">
        <v>672</v>
      </c>
      <c r="AP153">
        <v>3</v>
      </c>
      <c r="AQ153">
        <v>1</v>
      </c>
      <c r="AR153" t="s">
        <v>672</v>
      </c>
      <c r="AS153">
        <v>1</v>
      </c>
      <c r="AT153">
        <v>1</v>
      </c>
    </row>
    <row r="154" spans="1:46">
      <c r="A154" t="s">
        <v>12</v>
      </c>
      <c r="B154">
        <v>154</v>
      </c>
      <c r="C154" t="s">
        <v>13</v>
      </c>
      <c r="D154" t="s">
        <v>672</v>
      </c>
      <c r="E154" t="s">
        <v>672</v>
      </c>
      <c r="F154" t="s">
        <v>672</v>
      </c>
      <c r="G154" t="s">
        <v>1256</v>
      </c>
      <c r="H154" t="s">
        <v>1257</v>
      </c>
      <c r="I154" t="s">
        <v>672</v>
      </c>
      <c r="J154" t="s">
        <v>676</v>
      </c>
      <c r="K154" t="s">
        <v>677</v>
      </c>
      <c r="L154" t="s">
        <v>672</v>
      </c>
      <c r="M154" t="s">
        <v>672</v>
      </c>
      <c r="N154" t="s">
        <v>672</v>
      </c>
      <c r="O154" t="s">
        <v>705</v>
      </c>
      <c r="P154" t="s">
        <v>672</v>
      </c>
      <c r="Q154" t="s">
        <v>672</v>
      </c>
      <c r="R154" t="s">
        <v>672</v>
      </c>
      <c r="S154">
        <v>757740578</v>
      </c>
      <c r="T154">
        <v>54</v>
      </c>
      <c r="U154" t="s">
        <v>673</v>
      </c>
      <c r="V154" t="s">
        <v>672</v>
      </c>
      <c r="W154" t="s">
        <v>672</v>
      </c>
      <c r="X154" t="s">
        <v>1255</v>
      </c>
      <c r="Y154" t="s">
        <v>672</v>
      </c>
      <c r="Z154" s="1">
        <v>44224</v>
      </c>
      <c r="AA154">
        <v>1</v>
      </c>
      <c r="AB154" t="s">
        <v>672</v>
      </c>
      <c r="AC154" t="s">
        <v>672</v>
      </c>
      <c r="AD154" t="s">
        <v>672</v>
      </c>
      <c r="AE154" t="s">
        <v>672</v>
      </c>
      <c r="AF154" t="s">
        <v>672</v>
      </c>
      <c r="AG154" t="s">
        <v>672</v>
      </c>
      <c r="AH154" t="s">
        <v>672</v>
      </c>
      <c r="AI154" t="s">
        <v>672</v>
      </c>
      <c r="AJ154" t="s">
        <v>672</v>
      </c>
      <c r="AK154" t="s">
        <v>672</v>
      </c>
      <c r="AL154" t="s">
        <v>672</v>
      </c>
      <c r="AM154" t="s">
        <v>672</v>
      </c>
      <c r="AN154" t="s">
        <v>672</v>
      </c>
      <c r="AO154" t="s">
        <v>672</v>
      </c>
      <c r="AP154">
        <v>3</v>
      </c>
      <c r="AQ154">
        <v>1</v>
      </c>
      <c r="AR154" t="s">
        <v>672</v>
      </c>
      <c r="AS154">
        <v>1</v>
      </c>
      <c r="AT154">
        <v>1</v>
      </c>
    </row>
    <row r="155" spans="1:46">
      <c r="A155" t="s">
        <v>285</v>
      </c>
      <c r="B155">
        <v>155</v>
      </c>
      <c r="C155" t="s">
        <v>286</v>
      </c>
      <c r="D155" t="s">
        <v>672</v>
      </c>
      <c r="E155" t="s">
        <v>672</v>
      </c>
      <c r="F155" t="s">
        <v>672</v>
      </c>
      <c r="G155" t="s">
        <v>1259</v>
      </c>
      <c r="H155" t="s">
        <v>1260</v>
      </c>
      <c r="I155" t="s">
        <v>672</v>
      </c>
      <c r="J155" t="s">
        <v>676</v>
      </c>
      <c r="K155" t="s">
        <v>677</v>
      </c>
      <c r="L155" t="s">
        <v>672</v>
      </c>
      <c r="M155" t="s">
        <v>672</v>
      </c>
      <c r="N155" t="s">
        <v>672</v>
      </c>
      <c r="O155" t="s">
        <v>692</v>
      </c>
      <c r="P155" t="s">
        <v>672</v>
      </c>
      <c r="Q155" t="s">
        <v>672</v>
      </c>
      <c r="R155" t="s">
        <v>672</v>
      </c>
      <c r="S155">
        <v>22443592</v>
      </c>
      <c r="T155">
        <v>54</v>
      </c>
      <c r="U155" t="s">
        <v>673</v>
      </c>
      <c r="V155" t="s">
        <v>672</v>
      </c>
      <c r="W155" t="s">
        <v>672</v>
      </c>
      <c r="X155" t="s">
        <v>1258</v>
      </c>
      <c r="Y155" t="s">
        <v>672</v>
      </c>
      <c r="Z155" s="1">
        <v>44224</v>
      </c>
      <c r="AA155">
        <v>1</v>
      </c>
      <c r="AB155" t="s">
        <v>672</v>
      </c>
      <c r="AC155" t="s">
        <v>672</v>
      </c>
      <c r="AD155" t="s">
        <v>672</v>
      </c>
      <c r="AE155" t="s">
        <v>672</v>
      </c>
      <c r="AF155" t="s">
        <v>672</v>
      </c>
      <c r="AG155" t="s">
        <v>672</v>
      </c>
      <c r="AH155" t="s">
        <v>672</v>
      </c>
      <c r="AI155" t="s">
        <v>672</v>
      </c>
      <c r="AJ155" t="s">
        <v>672</v>
      </c>
      <c r="AK155" t="s">
        <v>672</v>
      </c>
      <c r="AL155" t="s">
        <v>672</v>
      </c>
      <c r="AM155" t="s">
        <v>672</v>
      </c>
      <c r="AN155" t="s">
        <v>672</v>
      </c>
      <c r="AO155" t="s">
        <v>672</v>
      </c>
      <c r="AP155">
        <v>3</v>
      </c>
      <c r="AQ155">
        <v>1</v>
      </c>
      <c r="AR155" t="s">
        <v>672</v>
      </c>
      <c r="AS155">
        <v>1</v>
      </c>
      <c r="AT155">
        <v>1</v>
      </c>
    </row>
    <row r="156" spans="1:46">
      <c r="A156" t="s">
        <v>598</v>
      </c>
      <c r="B156">
        <v>156</v>
      </c>
      <c r="C156" t="s">
        <v>1261</v>
      </c>
      <c r="D156" t="s">
        <v>672</v>
      </c>
      <c r="E156" t="s">
        <v>672</v>
      </c>
      <c r="F156" t="s">
        <v>672</v>
      </c>
      <c r="G156" t="s">
        <v>1263</v>
      </c>
      <c r="H156" t="s">
        <v>1264</v>
      </c>
      <c r="I156" t="s">
        <v>672</v>
      </c>
      <c r="J156" t="s">
        <v>704</v>
      </c>
      <c r="K156" t="s">
        <v>677</v>
      </c>
      <c r="L156" t="s">
        <v>672</v>
      </c>
      <c r="M156" t="s">
        <v>672</v>
      </c>
      <c r="N156" t="s">
        <v>672</v>
      </c>
      <c r="O156" t="s">
        <v>942</v>
      </c>
      <c r="P156" t="s">
        <v>672</v>
      </c>
      <c r="Q156" t="s">
        <v>672</v>
      </c>
      <c r="R156" t="s">
        <v>672</v>
      </c>
      <c r="S156">
        <v>707182026</v>
      </c>
      <c r="T156">
        <v>54</v>
      </c>
      <c r="U156" t="s">
        <v>673</v>
      </c>
      <c r="V156" t="s">
        <v>672</v>
      </c>
      <c r="W156" t="s">
        <v>672</v>
      </c>
      <c r="X156" t="s">
        <v>1262</v>
      </c>
      <c r="Y156" t="s">
        <v>672</v>
      </c>
      <c r="Z156" s="1">
        <v>43854</v>
      </c>
      <c r="AA156">
        <v>1</v>
      </c>
      <c r="AB156" t="s">
        <v>672</v>
      </c>
      <c r="AC156" t="s">
        <v>672</v>
      </c>
      <c r="AD156" t="s">
        <v>672</v>
      </c>
      <c r="AE156" t="s">
        <v>672</v>
      </c>
      <c r="AF156" t="s">
        <v>672</v>
      </c>
      <c r="AG156" t="s">
        <v>672</v>
      </c>
      <c r="AH156" t="s">
        <v>672</v>
      </c>
      <c r="AI156" t="s">
        <v>672</v>
      </c>
      <c r="AJ156" t="s">
        <v>672</v>
      </c>
      <c r="AK156" t="s">
        <v>672</v>
      </c>
      <c r="AL156" t="s">
        <v>672</v>
      </c>
      <c r="AM156" t="s">
        <v>672</v>
      </c>
      <c r="AN156" t="s">
        <v>672</v>
      </c>
      <c r="AO156" t="s">
        <v>672</v>
      </c>
      <c r="AP156">
        <v>3</v>
      </c>
      <c r="AQ156">
        <v>1</v>
      </c>
      <c r="AR156" t="s">
        <v>672</v>
      </c>
      <c r="AS156">
        <v>1</v>
      </c>
      <c r="AT156">
        <v>1</v>
      </c>
    </row>
    <row r="157" spans="1:46">
      <c r="A157" t="s">
        <v>618</v>
      </c>
      <c r="B157">
        <v>157</v>
      </c>
      <c r="C157" t="s">
        <v>619</v>
      </c>
      <c r="D157" t="s">
        <v>672</v>
      </c>
      <c r="E157" t="s">
        <v>672</v>
      </c>
      <c r="F157" t="s">
        <v>672</v>
      </c>
      <c r="G157" t="s">
        <v>1265</v>
      </c>
      <c r="H157" t="s">
        <v>1266</v>
      </c>
      <c r="I157" t="s">
        <v>672</v>
      </c>
      <c r="J157" t="s">
        <v>676</v>
      </c>
      <c r="K157" t="s">
        <v>677</v>
      </c>
      <c r="L157" t="s">
        <v>672</v>
      </c>
      <c r="M157" t="s">
        <v>672</v>
      </c>
      <c r="N157" t="s">
        <v>672</v>
      </c>
      <c r="O157" t="s">
        <v>942</v>
      </c>
      <c r="P157" t="s">
        <v>672</v>
      </c>
      <c r="Q157" t="s">
        <v>672</v>
      </c>
      <c r="R157" t="s">
        <v>672</v>
      </c>
      <c r="S157">
        <v>757931758</v>
      </c>
      <c r="T157">
        <v>54</v>
      </c>
      <c r="U157" t="s">
        <v>673</v>
      </c>
      <c r="V157" t="s">
        <v>672</v>
      </c>
      <c r="W157" t="s">
        <v>672</v>
      </c>
      <c r="X157" t="s">
        <v>1111</v>
      </c>
      <c r="Y157" t="s">
        <v>672</v>
      </c>
      <c r="Z157" s="1">
        <v>44224</v>
      </c>
      <c r="AA157">
        <v>1</v>
      </c>
      <c r="AB157" t="s">
        <v>672</v>
      </c>
      <c r="AC157" t="s">
        <v>672</v>
      </c>
      <c r="AD157" t="s">
        <v>672</v>
      </c>
      <c r="AE157" t="s">
        <v>672</v>
      </c>
      <c r="AF157" t="s">
        <v>672</v>
      </c>
      <c r="AG157" t="s">
        <v>672</v>
      </c>
      <c r="AH157" t="s">
        <v>672</v>
      </c>
      <c r="AI157" t="s">
        <v>672</v>
      </c>
      <c r="AJ157" t="s">
        <v>672</v>
      </c>
      <c r="AK157" t="s">
        <v>672</v>
      </c>
      <c r="AL157" t="s">
        <v>672</v>
      </c>
      <c r="AM157" t="s">
        <v>672</v>
      </c>
      <c r="AN157" t="s">
        <v>672</v>
      </c>
      <c r="AO157" t="s">
        <v>672</v>
      </c>
      <c r="AP157">
        <v>3</v>
      </c>
      <c r="AQ157">
        <v>1</v>
      </c>
      <c r="AR157" t="s">
        <v>672</v>
      </c>
      <c r="AS157">
        <v>1</v>
      </c>
      <c r="AT157">
        <v>1</v>
      </c>
    </row>
    <row r="158" spans="1:46">
      <c r="A158" t="s">
        <v>614</v>
      </c>
      <c r="B158">
        <v>158</v>
      </c>
      <c r="C158" t="s">
        <v>2152</v>
      </c>
      <c r="D158" t="s">
        <v>672</v>
      </c>
      <c r="E158" t="s">
        <v>672</v>
      </c>
      <c r="F158" t="s">
        <v>672</v>
      </c>
      <c r="G158" t="s">
        <v>1268</v>
      </c>
      <c r="H158" t="s">
        <v>1269</v>
      </c>
      <c r="I158" t="s">
        <v>672</v>
      </c>
      <c r="J158" t="s">
        <v>676</v>
      </c>
      <c r="K158" t="s">
        <v>677</v>
      </c>
      <c r="L158" t="s">
        <v>672</v>
      </c>
      <c r="M158" t="s">
        <v>672</v>
      </c>
      <c r="N158" t="s">
        <v>672</v>
      </c>
      <c r="O158" t="s">
        <v>678</v>
      </c>
      <c r="P158" t="s">
        <v>672</v>
      </c>
      <c r="Q158" t="s">
        <v>672</v>
      </c>
      <c r="R158" t="s">
        <v>672</v>
      </c>
      <c r="S158">
        <v>708459696</v>
      </c>
      <c r="T158">
        <v>54</v>
      </c>
      <c r="U158" t="s">
        <v>673</v>
      </c>
      <c r="V158" t="s">
        <v>672</v>
      </c>
      <c r="W158" t="s">
        <v>672</v>
      </c>
      <c r="X158" t="s">
        <v>1267</v>
      </c>
      <c r="Y158" t="s">
        <v>672</v>
      </c>
      <c r="Z158" s="1">
        <v>44592</v>
      </c>
      <c r="AA158">
        <v>1</v>
      </c>
      <c r="AB158" t="s">
        <v>672</v>
      </c>
      <c r="AC158" t="s">
        <v>672</v>
      </c>
      <c r="AD158" t="s">
        <v>672</v>
      </c>
      <c r="AE158" t="s">
        <v>672</v>
      </c>
      <c r="AF158" t="s">
        <v>672</v>
      </c>
      <c r="AG158" t="s">
        <v>672</v>
      </c>
      <c r="AH158" t="s">
        <v>672</v>
      </c>
      <c r="AI158" t="s">
        <v>672</v>
      </c>
      <c r="AJ158" t="s">
        <v>672</v>
      </c>
      <c r="AK158" t="s">
        <v>672</v>
      </c>
      <c r="AL158" t="s">
        <v>672</v>
      </c>
      <c r="AM158" t="s">
        <v>672</v>
      </c>
      <c r="AN158" t="s">
        <v>672</v>
      </c>
      <c r="AO158" t="s">
        <v>672</v>
      </c>
      <c r="AP158">
        <v>3</v>
      </c>
      <c r="AQ158">
        <v>1</v>
      </c>
      <c r="AR158" t="s">
        <v>672</v>
      </c>
      <c r="AS158">
        <v>1</v>
      </c>
      <c r="AT158">
        <v>1</v>
      </c>
    </row>
    <row r="159" spans="1:46">
      <c r="A159" t="s">
        <v>562</v>
      </c>
      <c r="B159">
        <v>159</v>
      </c>
      <c r="C159" t="s">
        <v>563</v>
      </c>
      <c r="D159" t="s">
        <v>672</v>
      </c>
      <c r="E159" t="s">
        <v>672</v>
      </c>
      <c r="F159" t="s">
        <v>672</v>
      </c>
      <c r="G159" t="s">
        <v>1271</v>
      </c>
      <c r="H159" t="s">
        <v>1272</v>
      </c>
      <c r="I159" t="s">
        <v>672</v>
      </c>
      <c r="J159" t="s">
        <v>704</v>
      </c>
      <c r="K159" t="s">
        <v>677</v>
      </c>
      <c r="L159" t="s">
        <v>672</v>
      </c>
      <c r="M159" t="s">
        <v>672</v>
      </c>
      <c r="N159" t="s">
        <v>672</v>
      </c>
      <c r="O159" t="s">
        <v>678</v>
      </c>
      <c r="P159" t="s">
        <v>672</v>
      </c>
      <c r="Q159" t="s">
        <v>672</v>
      </c>
      <c r="R159" t="s">
        <v>672</v>
      </c>
      <c r="S159">
        <v>709092954</v>
      </c>
      <c r="T159">
        <v>54</v>
      </c>
      <c r="U159" t="s">
        <v>673</v>
      </c>
      <c r="V159" t="s">
        <v>672</v>
      </c>
      <c r="W159" t="s">
        <v>672</v>
      </c>
      <c r="X159" t="s">
        <v>1270</v>
      </c>
      <c r="Y159" t="s">
        <v>672</v>
      </c>
      <c r="Z159" s="1">
        <v>44592</v>
      </c>
      <c r="AA159">
        <v>1</v>
      </c>
      <c r="AB159" t="s">
        <v>672</v>
      </c>
      <c r="AC159" t="s">
        <v>672</v>
      </c>
      <c r="AD159" t="s">
        <v>672</v>
      </c>
      <c r="AE159" t="s">
        <v>672</v>
      </c>
      <c r="AF159" t="s">
        <v>672</v>
      </c>
      <c r="AG159" t="s">
        <v>672</v>
      </c>
      <c r="AH159" t="s">
        <v>672</v>
      </c>
      <c r="AI159" t="s">
        <v>672</v>
      </c>
      <c r="AJ159" t="s">
        <v>672</v>
      </c>
      <c r="AK159" t="s">
        <v>672</v>
      </c>
      <c r="AL159" t="s">
        <v>672</v>
      </c>
      <c r="AM159" t="s">
        <v>672</v>
      </c>
      <c r="AN159" t="s">
        <v>672</v>
      </c>
      <c r="AO159" t="s">
        <v>672</v>
      </c>
      <c r="AP159">
        <v>3</v>
      </c>
      <c r="AQ159">
        <v>1</v>
      </c>
      <c r="AR159" t="s">
        <v>672</v>
      </c>
      <c r="AS159">
        <v>1</v>
      </c>
      <c r="AT159">
        <v>1</v>
      </c>
    </row>
    <row r="160" spans="1:46">
      <c r="A160" t="s">
        <v>564</v>
      </c>
      <c r="B160">
        <v>160</v>
      </c>
      <c r="C160" t="s">
        <v>1273</v>
      </c>
      <c r="D160" t="s">
        <v>672</v>
      </c>
      <c r="E160" t="s">
        <v>672</v>
      </c>
      <c r="F160" t="s">
        <v>672</v>
      </c>
      <c r="G160" t="s">
        <v>1274</v>
      </c>
      <c r="H160" t="s">
        <v>1275</v>
      </c>
      <c r="I160" t="s">
        <v>672</v>
      </c>
      <c r="J160" t="s">
        <v>704</v>
      </c>
      <c r="K160" t="s">
        <v>677</v>
      </c>
      <c r="L160" t="s">
        <v>672</v>
      </c>
      <c r="M160" t="s">
        <v>672</v>
      </c>
      <c r="N160" t="s">
        <v>672</v>
      </c>
      <c r="O160" t="s">
        <v>678</v>
      </c>
      <c r="P160" t="s">
        <v>672</v>
      </c>
      <c r="Q160" t="s">
        <v>672</v>
      </c>
      <c r="R160" t="s">
        <v>672</v>
      </c>
      <c r="S160">
        <v>709892954</v>
      </c>
      <c r="T160">
        <v>54</v>
      </c>
      <c r="U160" t="s">
        <v>673</v>
      </c>
      <c r="V160" t="s">
        <v>672</v>
      </c>
      <c r="W160" t="s">
        <v>672</v>
      </c>
      <c r="X160" t="s">
        <v>828</v>
      </c>
      <c r="Y160" t="s">
        <v>672</v>
      </c>
      <c r="Z160" s="1">
        <v>44592</v>
      </c>
      <c r="AA160">
        <v>1</v>
      </c>
      <c r="AB160" t="s">
        <v>672</v>
      </c>
      <c r="AC160" t="s">
        <v>672</v>
      </c>
      <c r="AD160" t="s">
        <v>672</v>
      </c>
      <c r="AE160" t="s">
        <v>672</v>
      </c>
      <c r="AF160" t="s">
        <v>672</v>
      </c>
      <c r="AG160" t="s">
        <v>672</v>
      </c>
      <c r="AH160" t="s">
        <v>672</v>
      </c>
      <c r="AI160" t="s">
        <v>672</v>
      </c>
      <c r="AJ160" t="s">
        <v>672</v>
      </c>
      <c r="AK160" t="s">
        <v>672</v>
      </c>
      <c r="AL160" t="s">
        <v>672</v>
      </c>
      <c r="AM160" t="s">
        <v>672</v>
      </c>
      <c r="AN160" t="s">
        <v>672</v>
      </c>
      <c r="AO160" t="s">
        <v>672</v>
      </c>
      <c r="AP160">
        <v>3</v>
      </c>
      <c r="AQ160">
        <v>1</v>
      </c>
      <c r="AR160" t="s">
        <v>672</v>
      </c>
      <c r="AS160">
        <v>1</v>
      </c>
      <c r="AT160">
        <v>1</v>
      </c>
    </row>
    <row r="161" spans="1:46">
      <c r="A161" t="s">
        <v>1277</v>
      </c>
      <c r="B161">
        <v>161</v>
      </c>
      <c r="C161" t="s">
        <v>1276</v>
      </c>
      <c r="D161" t="s">
        <v>672</v>
      </c>
      <c r="E161" t="s">
        <v>672</v>
      </c>
      <c r="F161" t="s">
        <v>672</v>
      </c>
      <c r="G161" t="s">
        <v>1278</v>
      </c>
      <c r="H161" t="s">
        <v>1279</v>
      </c>
      <c r="I161" t="s">
        <v>672</v>
      </c>
      <c r="J161" t="s">
        <v>676</v>
      </c>
      <c r="K161" t="s">
        <v>677</v>
      </c>
      <c r="L161" t="s">
        <v>672</v>
      </c>
      <c r="M161" t="s">
        <v>672</v>
      </c>
      <c r="N161" t="s">
        <v>672</v>
      </c>
      <c r="O161" t="s">
        <v>942</v>
      </c>
      <c r="P161" t="s">
        <v>672</v>
      </c>
      <c r="Q161" t="s">
        <v>672</v>
      </c>
      <c r="R161" t="s">
        <v>672</v>
      </c>
      <c r="S161">
        <v>757417993</v>
      </c>
      <c r="T161">
        <v>54</v>
      </c>
      <c r="U161" t="s">
        <v>673</v>
      </c>
      <c r="V161" t="s">
        <v>672</v>
      </c>
      <c r="W161" t="s">
        <v>672</v>
      </c>
      <c r="X161" t="s">
        <v>717</v>
      </c>
      <c r="Y161" t="s">
        <v>672</v>
      </c>
      <c r="Z161" s="1">
        <v>44957</v>
      </c>
      <c r="AA161">
        <v>1</v>
      </c>
      <c r="AB161" t="s">
        <v>672</v>
      </c>
      <c r="AC161" t="s">
        <v>672</v>
      </c>
      <c r="AD161" t="s">
        <v>672</v>
      </c>
      <c r="AE161" t="s">
        <v>672</v>
      </c>
      <c r="AF161" t="s">
        <v>672</v>
      </c>
      <c r="AG161" t="s">
        <v>672</v>
      </c>
      <c r="AH161" t="s">
        <v>672</v>
      </c>
      <c r="AI161" t="s">
        <v>672</v>
      </c>
      <c r="AJ161" t="s">
        <v>672</v>
      </c>
      <c r="AK161" t="s">
        <v>672</v>
      </c>
      <c r="AL161" t="s">
        <v>672</v>
      </c>
      <c r="AM161" t="s">
        <v>672</v>
      </c>
      <c r="AN161" t="s">
        <v>672</v>
      </c>
      <c r="AO161" t="s">
        <v>672</v>
      </c>
      <c r="AP161">
        <v>3</v>
      </c>
      <c r="AQ161">
        <v>1</v>
      </c>
      <c r="AR161" t="s">
        <v>672</v>
      </c>
      <c r="AS161">
        <v>1</v>
      </c>
      <c r="AT161">
        <v>1</v>
      </c>
    </row>
    <row r="162" spans="1:46">
      <c r="A162" t="s">
        <v>576</v>
      </c>
      <c r="B162">
        <v>162</v>
      </c>
      <c r="C162" t="s">
        <v>1280</v>
      </c>
      <c r="D162" t="s">
        <v>672</v>
      </c>
      <c r="E162" t="s">
        <v>672</v>
      </c>
      <c r="F162" t="s">
        <v>672</v>
      </c>
      <c r="G162" t="s">
        <v>1282</v>
      </c>
      <c r="H162" t="s">
        <v>1283</v>
      </c>
      <c r="I162" t="s">
        <v>672</v>
      </c>
      <c r="J162" t="s">
        <v>704</v>
      </c>
      <c r="K162" t="s">
        <v>677</v>
      </c>
      <c r="L162" t="s">
        <v>672</v>
      </c>
      <c r="M162" t="s">
        <v>672</v>
      </c>
      <c r="N162" t="s">
        <v>672</v>
      </c>
      <c r="O162" t="s">
        <v>942</v>
      </c>
      <c r="P162" t="s">
        <v>672</v>
      </c>
      <c r="Q162" t="s">
        <v>672</v>
      </c>
      <c r="R162" t="s">
        <v>672</v>
      </c>
      <c r="S162">
        <v>708089498</v>
      </c>
      <c r="T162">
        <v>54</v>
      </c>
      <c r="U162" t="s">
        <v>673</v>
      </c>
      <c r="V162" t="s">
        <v>672</v>
      </c>
      <c r="W162" t="s">
        <v>672</v>
      </c>
      <c r="X162" t="s">
        <v>1281</v>
      </c>
      <c r="Y162" t="s">
        <v>672</v>
      </c>
      <c r="Z162" s="1">
        <v>44949</v>
      </c>
      <c r="AA162">
        <v>1</v>
      </c>
      <c r="AB162" t="s">
        <v>672</v>
      </c>
      <c r="AC162" t="s">
        <v>672</v>
      </c>
      <c r="AD162" t="s">
        <v>672</v>
      </c>
      <c r="AE162" t="s">
        <v>672</v>
      </c>
      <c r="AF162" t="s">
        <v>672</v>
      </c>
      <c r="AG162" t="s">
        <v>672</v>
      </c>
      <c r="AH162" t="s">
        <v>672</v>
      </c>
      <c r="AI162" t="s">
        <v>672</v>
      </c>
      <c r="AJ162" t="s">
        <v>672</v>
      </c>
      <c r="AK162" t="s">
        <v>672</v>
      </c>
      <c r="AL162" t="s">
        <v>672</v>
      </c>
      <c r="AM162" t="s">
        <v>672</v>
      </c>
      <c r="AN162" t="s">
        <v>672</v>
      </c>
      <c r="AO162" t="s">
        <v>672</v>
      </c>
      <c r="AP162">
        <v>3</v>
      </c>
      <c r="AQ162">
        <v>1</v>
      </c>
      <c r="AR162" t="s">
        <v>672</v>
      </c>
      <c r="AS162">
        <v>1</v>
      </c>
      <c r="AT162">
        <v>1</v>
      </c>
    </row>
    <row r="163" spans="1:46">
      <c r="A163" t="s">
        <v>1286</v>
      </c>
      <c r="B163">
        <v>163</v>
      </c>
      <c r="C163" t="s">
        <v>1284</v>
      </c>
      <c r="D163" t="s">
        <v>672</v>
      </c>
      <c r="E163" t="s">
        <v>672</v>
      </c>
      <c r="F163" t="s">
        <v>672</v>
      </c>
      <c r="G163" t="s">
        <v>1287</v>
      </c>
      <c r="H163" t="s">
        <v>1288</v>
      </c>
      <c r="I163" t="s">
        <v>672</v>
      </c>
      <c r="J163" t="s">
        <v>676</v>
      </c>
      <c r="K163" t="s">
        <v>677</v>
      </c>
      <c r="L163" t="s">
        <v>672</v>
      </c>
      <c r="M163" t="s">
        <v>672</v>
      </c>
      <c r="N163" t="s">
        <v>672</v>
      </c>
      <c r="O163" t="s">
        <v>942</v>
      </c>
      <c r="P163" t="s">
        <v>672</v>
      </c>
      <c r="Q163" t="s">
        <v>672</v>
      </c>
      <c r="R163" t="s">
        <v>672</v>
      </c>
      <c r="T163">
        <v>54</v>
      </c>
      <c r="U163" t="s">
        <v>673</v>
      </c>
      <c r="V163" t="s">
        <v>672</v>
      </c>
      <c r="W163" t="s">
        <v>672</v>
      </c>
      <c r="X163" t="s">
        <v>1285</v>
      </c>
      <c r="Y163" t="s">
        <v>672</v>
      </c>
      <c r="Z163" s="1">
        <v>44974</v>
      </c>
      <c r="AA163">
        <v>1</v>
      </c>
      <c r="AB163" t="s">
        <v>672</v>
      </c>
      <c r="AC163" t="s">
        <v>672</v>
      </c>
      <c r="AD163" t="s">
        <v>672</v>
      </c>
      <c r="AE163" t="s">
        <v>672</v>
      </c>
      <c r="AF163" t="s">
        <v>672</v>
      </c>
      <c r="AG163" t="s">
        <v>672</v>
      </c>
      <c r="AH163" t="s">
        <v>672</v>
      </c>
      <c r="AI163" t="s">
        <v>672</v>
      </c>
      <c r="AJ163" t="s">
        <v>672</v>
      </c>
      <c r="AK163" t="s">
        <v>672</v>
      </c>
      <c r="AL163" t="s">
        <v>672</v>
      </c>
      <c r="AM163" t="s">
        <v>672</v>
      </c>
      <c r="AN163" t="s">
        <v>672</v>
      </c>
      <c r="AO163" t="s">
        <v>672</v>
      </c>
      <c r="AP163">
        <v>3</v>
      </c>
      <c r="AQ163">
        <v>1</v>
      </c>
      <c r="AR163" t="s">
        <v>672</v>
      </c>
      <c r="AS163">
        <v>1</v>
      </c>
      <c r="AT163">
        <v>1</v>
      </c>
    </row>
    <row r="164" spans="1:46">
      <c r="A164" t="s">
        <v>456</v>
      </c>
      <c r="B164">
        <v>164</v>
      </c>
      <c r="C164" t="s">
        <v>1289</v>
      </c>
      <c r="D164" t="s">
        <v>672</v>
      </c>
      <c r="E164" t="s">
        <v>672</v>
      </c>
      <c r="F164" t="s">
        <v>672</v>
      </c>
      <c r="G164" t="s">
        <v>1291</v>
      </c>
      <c r="H164" t="s">
        <v>1292</v>
      </c>
      <c r="I164" t="s">
        <v>672</v>
      </c>
      <c r="J164" t="s">
        <v>704</v>
      </c>
      <c r="K164" t="s">
        <v>677</v>
      </c>
      <c r="L164" t="s">
        <v>672</v>
      </c>
      <c r="M164" t="s">
        <v>672</v>
      </c>
      <c r="N164" t="s">
        <v>672</v>
      </c>
      <c r="O164" t="s">
        <v>942</v>
      </c>
      <c r="P164" t="s">
        <v>672</v>
      </c>
      <c r="Q164" t="s">
        <v>672</v>
      </c>
      <c r="R164" t="s">
        <v>672</v>
      </c>
      <c r="S164">
        <v>788711112</v>
      </c>
      <c r="T164">
        <v>54</v>
      </c>
      <c r="U164" t="s">
        <v>673</v>
      </c>
      <c r="V164" t="s">
        <v>672</v>
      </c>
      <c r="W164" t="s">
        <v>672</v>
      </c>
      <c r="X164" t="s">
        <v>1290</v>
      </c>
      <c r="Y164" t="s">
        <v>672</v>
      </c>
      <c r="Z164" s="1">
        <v>44949</v>
      </c>
      <c r="AA164">
        <v>1</v>
      </c>
      <c r="AB164" t="s">
        <v>672</v>
      </c>
      <c r="AC164" t="s">
        <v>672</v>
      </c>
      <c r="AD164" t="s">
        <v>672</v>
      </c>
      <c r="AE164" t="s">
        <v>672</v>
      </c>
      <c r="AF164" t="s">
        <v>672</v>
      </c>
      <c r="AG164" t="s">
        <v>672</v>
      </c>
      <c r="AH164" t="s">
        <v>672</v>
      </c>
      <c r="AI164" t="s">
        <v>672</v>
      </c>
      <c r="AJ164" t="s">
        <v>672</v>
      </c>
      <c r="AK164" t="s">
        <v>672</v>
      </c>
      <c r="AL164" t="s">
        <v>672</v>
      </c>
      <c r="AM164" t="s">
        <v>672</v>
      </c>
      <c r="AN164" t="s">
        <v>672</v>
      </c>
      <c r="AO164" t="s">
        <v>672</v>
      </c>
      <c r="AP164">
        <v>3</v>
      </c>
      <c r="AQ164">
        <v>1</v>
      </c>
      <c r="AR164" t="s">
        <v>672</v>
      </c>
      <c r="AS164">
        <v>1</v>
      </c>
      <c r="AT164">
        <v>1</v>
      </c>
    </row>
    <row r="165" spans="1:46">
      <c r="A165" t="s">
        <v>310</v>
      </c>
      <c r="B165">
        <v>165</v>
      </c>
      <c r="C165" t="s">
        <v>311</v>
      </c>
      <c r="D165" t="s">
        <v>672</v>
      </c>
      <c r="E165" t="s">
        <v>672</v>
      </c>
      <c r="F165" t="s">
        <v>672</v>
      </c>
      <c r="G165" t="s">
        <v>1293</v>
      </c>
      <c r="H165" t="s">
        <v>1294</v>
      </c>
      <c r="I165" t="s">
        <v>672</v>
      </c>
      <c r="J165" t="s">
        <v>676</v>
      </c>
      <c r="K165" t="s">
        <v>677</v>
      </c>
      <c r="L165" t="s">
        <v>672</v>
      </c>
      <c r="M165" t="s">
        <v>672</v>
      </c>
      <c r="N165" t="s">
        <v>672</v>
      </c>
      <c r="O165" t="s">
        <v>942</v>
      </c>
      <c r="P165" t="s">
        <v>672</v>
      </c>
      <c r="Q165" t="s">
        <v>672</v>
      </c>
      <c r="R165" t="s">
        <v>672</v>
      </c>
      <c r="T165">
        <v>54</v>
      </c>
      <c r="U165" t="s">
        <v>673</v>
      </c>
      <c r="V165" t="s">
        <v>672</v>
      </c>
      <c r="W165" t="s">
        <v>672</v>
      </c>
      <c r="X165" t="s">
        <v>959</v>
      </c>
      <c r="Y165" t="s">
        <v>672</v>
      </c>
      <c r="Z165" s="1">
        <v>43854</v>
      </c>
      <c r="AA165">
        <v>1</v>
      </c>
      <c r="AB165" t="s">
        <v>672</v>
      </c>
      <c r="AC165" t="s">
        <v>672</v>
      </c>
      <c r="AD165" t="s">
        <v>672</v>
      </c>
      <c r="AE165" t="s">
        <v>672</v>
      </c>
      <c r="AF165" t="s">
        <v>672</v>
      </c>
      <c r="AG165" t="s">
        <v>672</v>
      </c>
      <c r="AH165" t="s">
        <v>672</v>
      </c>
      <c r="AI165" t="s">
        <v>672</v>
      </c>
      <c r="AJ165" t="s">
        <v>672</v>
      </c>
      <c r="AK165" t="s">
        <v>672</v>
      </c>
      <c r="AL165" t="s">
        <v>672</v>
      </c>
      <c r="AM165" t="s">
        <v>672</v>
      </c>
      <c r="AN165" t="s">
        <v>672</v>
      </c>
      <c r="AO165" t="s">
        <v>672</v>
      </c>
      <c r="AP165">
        <v>3</v>
      </c>
      <c r="AQ165">
        <v>1</v>
      </c>
      <c r="AR165" t="s">
        <v>672</v>
      </c>
      <c r="AS165">
        <v>1</v>
      </c>
      <c r="AT165">
        <v>1</v>
      </c>
    </row>
    <row r="166" spans="1:46">
      <c r="A166" t="s">
        <v>1296</v>
      </c>
      <c r="B166">
        <v>166</v>
      </c>
      <c r="C166" t="s">
        <v>1295</v>
      </c>
      <c r="D166" t="s">
        <v>672</v>
      </c>
      <c r="E166" t="s">
        <v>672</v>
      </c>
      <c r="F166" t="s">
        <v>672</v>
      </c>
      <c r="G166" t="s">
        <v>1297</v>
      </c>
      <c r="H166" t="s">
        <v>1051</v>
      </c>
      <c r="I166" t="s">
        <v>672</v>
      </c>
      <c r="J166" t="s">
        <v>704</v>
      </c>
      <c r="K166" t="s">
        <v>677</v>
      </c>
      <c r="L166" t="s">
        <v>672</v>
      </c>
      <c r="M166" t="s">
        <v>672</v>
      </c>
      <c r="N166" t="s">
        <v>672</v>
      </c>
      <c r="O166" t="s">
        <v>942</v>
      </c>
      <c r="P166" t="s">
        <v>672</v>
      </c>
      <c r="Q166" t="s">
        <v>672</v>
      </c>
      <c r="R166" t="s">
        <v>672</v>
      </c>
      <c r="T166">
        <v>54</v>
      </c>
      <c r="U166" t="s">
        <v>673</v>
      </c>
      <c r="V166" t="s">
        <v>672</v>
      </c>
      <c r="W166" t="s">
        <v>672</v>
      </c>
      <c r="Y166" t="s">
        <v>672</v>
      </c>
      <c r="Z166" s="1">
        <v>44949</v>
      </c>
      <c r="AA166">
        <v>1</v>
      </c>
      <c r="AB166" t="s">
        <v>672</v>
      </c>
      <c r="AC166" t="s">
        <v>672</v>
      </c>
      <c r="AD166" t="s">
        <v>672</v>
      </c>
      <c r="AE166" t="s">
        <v>672</v>
      </c>
      <c r="AF166" t="s">
        <v>672</v>
      </c>
      <c r="AG166" t="s">
        <v>672</v>
      </c>
      <c r="AH166" t="s">
        <v>672</v>
      </c>
      <c r="AI166" t="s">
        <v>672</v>
      </c>
      <c r="AJ166" t="s">
        <v>672</v>
      </c>
      <c r="AK166" t="s">
        <v>672</v>
      </c>
      <c r="AL166" t="s">
        <v>672</v>
      </c>
      <c r="AM166" t="s">
        <v>672</v>
      </c>
      <c r="AN166" t="s">
        <v>672</v>
      </c>
      <c r="AO166" t="s">
        <v>672</v>
      </c>
      <c r="AP166">
        <v>3</v>
      </c>
      <c r="AQ166">
        <v>1</v>
      </c>
      <c r="AR166" t="s">
        <v>672</v>
      </c>
      <c r="AS166">
        <v>1</v>
      </c>
      <c r="AT166">
        <v>1</v>
      </c>
    </row>
    <row r="167" spans="1:46">
      <c r="A167" t="s">
        <v>100</v>
      </c>
      <c r="B167">
        <v>167</v>
      </c>
      <c r="C167" t="s">
        <v>1298</v>
      </c>
      <c r="D167" t="s">
        <v>672</v>
      </c>
      <c r="E167" t="s">
        <v>672</v>
      </c>
      <c r="F167" t="s">
        <v>672</v>
      </c>
      <c r="G167" t="s">
        <v>1299</v>
      </c>
      <c r="H167" t="s">
        <v>1300</v>
      </c>
      <c r="I167" t="s">
        <v>672</v>
      </c>
      <c r="J167" t="s">
        <v>676</v>
      </c>
      <c r="K167" t="s">
        <v>677</v>
      </c>
      <c r="L167" t="s">
        <v>672</v>
      </c>
      <c r="M167" t="s">
        <v>672</v>
      </c>
      <c r="N167" t="s">
        <v>672</v>
      </c>
      <c r="O167" t="s">
        <v>942</v>
      </c>
      <c r="P167" t="s">
        <v>672</v>
      </c>
      <c r="Q167" t="s">
        <v>672</v>
      </c>
      <c r="R167" t="s">
        <v>672</v>
      </c>
      <c r="S167">
        <v>1424820022</v>
      </c>
      <c r="T167">
        <v>54</v>
      </c>
      <c r="U167" t="s">
        <v>673</v>
      </c>
      <c r="V167" t="s">
        <v>672</v>
      </c>
      <c r="W167" t="s">
        <v>672</v>
      </c>
      <c r="X167" t="s">
        <v>872</v>
      </c>
      <c r="Y167" t="s">
        <v>672</v>
      </c>
      <c r="Z167" s="1">
        <v>44585</v>
      </c>
      <c r="AA167">
        <v>1</v>
      </c>
      <c r="AB167" t="s">
        <v>672</v>
      </c>
      <c r="AC167" t="s">
        <v>672</v>
      </c>
      <c r="AD167" t="s">
        <v>672</v>
      </c>
      <c r="AE167" t="s">
        <v>672</v>
      </c>
      <c r="AF167" t="s">
        <v>672</v>
      </c>
      <c r="AG167" t="s">
        <v>672</v>
      </c>
      <c r="AH167" t="s">
        <v>672</v>
      </c>
      <c r="AI167" t="s">
        <v>672</v>
      </c>
      <c r="AJ167" t="s">
        <v>672</v>
      </c>
      <c r="AK167" t="s">
        <v>672</v>
      </c>
      <c r="AL167" t="s">
        <v>672</v>
      </c>
      <c r="AM167" t="s">
        <v>672</v>
      </c>
      <c r="AN167" t="s">
        <v>672</v>
      </c>
      <c r="AO167" t="s">
        <v>672</v>
      </c>
      <c r="AP167">
        <v>3</v>
      </c>
      <c r="AQ167">
        <v>1</v>
      </c>
      <c r="AR167" t="s">
        <v>672</v>
      </c>
      <c r="AS167">
        <v>1</v>
      </c>
      <c r="AT167">
        <v>1</v>
      </c>
    </row>
    <row r="168" spans="1:46">
      <c r="A168" t="s">
        <v>1302</v>
      </c>
      <c r="B168">
        <v>168</v>
      </c>
      <c r="C168" t="s">
        <v>276</v>
      </c>
      <c r="D168" t="s">
        <v>672</v>
      </c>
      <c r="E168" t="s">
        <v>672</v>
      </c>
      <c r="F168" t="s">
        <v>672</v>
      </c>
      <c r="G168" t="s">
        <v>1303</v>
      </c>
      <c r="H168" t="s">
        <v>1304</v>
      </c>
      <c r="I168" t="s">
        <v>672</v>
      </c>
      <c r="J168" t="s">
        <v>704</v>
      </c>
      <c r="K168" t="s">
        <v>677</v>
      </c>
      <c r="L168" t="s">
        <v>672</v>
      </c>
      <c r="M168" t="s">
        <v>672</v>
      </c>
      <c r="N168" t="s">
        <v>672</v>
      </c>
      <c r="O168" t="s">
        <v>942</v>
      </c>
      <c r="P168" t="s">
        <v>672</v>
      </c>
      <c r="Q168" t="s">
        <v>672</v>
      </c>
      <c r="R168" t="s">
        <v>672</v>
      </c>
      <c r="T168">
        <v>54</v>
      </c>
      <c r="U168" t="s">
        <v>673</v>
      </c>
      <c r="V168" t="s">
        <v>672</v>
      </c>
      <c r="W168" t="s">
        <v>672</v>
      </c>
      <c r="X168" t="s">
        <v>1301</v>
      </c>
      <c r="Y168" t="s">
        <v>672</v>
      </c>
      <c r="Z168" s="1">
        <v>44949</v>
      </c>
      <c r="AA168">
        <v>1</v>
      </c>
      <c r="AB168" t="s">
        <v>672</v>
      </c>
      <c r="AC168" t="s">
        <v>672</v>
      </c>
      <c r="AD168" t="s">
        <v>672</v>
      </c>
      <c r="AE168" t="s">
        <v>672</v>
      </c>
      <c r="AF168" t="s">
        <v>672</v>
      </c>
      <c r="AG168" t="s">
        <v>672</v>
      </c>
      <c r="AH168" t="s">
        <v>672</v>
      </c>
      <c r="AI168" t="s">
        <v>672</v>
      </c>
      <c r="AJ168" t="s">
        <v>672</v>
      </c>
      <c r="AK168" t="s">
        <v>672</v>
      </c>
      <c r="AL168" t="s">
        <v>672</v>
      </c>
      <c r="AM168" t="s">
        <v>672</v>
      </c>
      <c r="AN168" t="s">
        <v>672</v>
      </c>
      <c r="AO168" t="s">
        <v>672</v>
      </c>
      <c r="AP168">
        <v>3</v>
      </c>
      <c r="AQ168">
        <v>1</v>
      </c>
      <c r="AR168" t="s">
        <v>672</v>
      </c>
      <c r="AS168">
        <v>1</v>
      </c>
      <c r="AT168">
        <v>1</v>
      </c>
    </row>
    <row r="169" spans="1:46">
      <c r="A169" t="s">
        <v>207</v>
      </c>
      <c r="B169">
        <v>169</v>
      </c>
      <c r="C169" t="s">
        <v>208</v>
      </c>
      <c r="D169" t="s">
        <v>672</v>
      </c>
      <c r="E169" t="s">
        <v>672</v>
      </c>
      <c r="F169" t="s">
        <v>672</v>
      </c>
      <c r="G169" t="s">
        <v>1306</v>
      </c>
      <c r="H169" t="s">
        <v>1307</v>
      </c>
      <c r="I169" t="s">
        <v>672</v>
      </c>
      <c r="J169" t="s">
        <v>676</v>
      </c>
      <c r="K169" t="s">
        <v>677</v>
      </c>
      <c r="L169" t="s">
        <v>672</v>
      </c>
      <c r="M169" t="s">
        <v>672</v>
      </c>
      <c r="N169" t="s">
        <v>672</v>
      </c>
      <c r="O169" t="s">
        <v>942</v>
      </c>
      <c r="P169" t="s">
        <v>672</v>
      </c>
      <c r="Q169" t="s">
        <v>672</v>
      </c>
      <c r="R169" t="s">
        <v>672</v>
      </c>
      <c r="S169">
        <v>708095645</v>
      </c>
      <c r="T169">
        <v>54</v>
      </c>
      <c r="U169" t="s">
        <v>673</v>
      </c>
      <c r="V169" t="s">
        <v>672</v>
      </c>
      <c r="W169" t="s">
        <v>672</v>
      </c>
      <c r="X169" t="s">
        <v>1305</v>
      </c>
      <c r="Y169" t="s">
        <v>672</v>
      </c>
      <c r="Z169" s="1">
        <v>43850</v>
      </c>
      <c r="AA169">
        <v>1</v>
      </c>
      <c r="AB169" t="s">
        <v>672</v>
      </c>
      <c r="AC169" t="s">
        <v>672</v>
      </c>
      <c r="AD169" t="s">
        <v>672</v>
      </c>
      <c r="AE169" t="s">
        <v>672</v>
      </c>
      <c r="AF169" t="s">
        <v>672</v>
      </c>
      <c r="AG169" t="s">
        <v>672</v>
      </c>
      <c r="AH169" t="s">
        <v>672</v>
      </c>
      <c r="AI169" t="s">
        <v>672</v>
      </c>
      <c r="AJ169" t="s">
        <v>672</v>
      </c>
      <c r="AK169" t="s">
        <v>672</v>
      </c>
      <c r="AL169" t="s">
        <v>672</v>
      </c>
      <c r="AM169" t="s">
        <v>672</v>
      </c>
      <c r="AN169" t="s">
        <v>672</v>
      </c>
      <c r="AO169" t="s">
        <v>672</v>
      </c>
      <c r="AP169">
        <v>3</v>
      </c>
      <c r="AQ169">
        <v>1</v>
      </c>
      <c r="AR169" t="s">
        <v>672</v>
      </c>
      <c r="AS169">
        <v>1</v>
      </c>
      <c r="AT169">
        <v>1</v>
      </c>
    </row>
    <row r="170" spans="1:46">
      <c r="A170" t="s">
        <v>124</v>
      </c>
      <c r="B170">
        <v>170</v>
      </c>
      <c r="C170" t="s">
        <v>125</v>
      </c>
      <c r="D170" t="s">
        <v>672</v>
      </c>
      <c r="E170" t="s">
        <v>672</v>
      </c>
      <c r="F170" t="s">
        <v>672</v>
      </c>
      <c r="G170" t="s">
        <v>1309</v>
      </c>
      <c r="H170" t="s">
        <v>961</v>
      </c>
      <c r="I170" t="s">
        <v>672</v>
      </c>
      <c r="J170" t="s">
        <v>704</v>
      </c>
      <c r="K170" t="s">
        <v>677</v>
      </c>
      <c r="L170" t="s">
        <v>672</v>
      </c>
      <c r="M170" t="s">
        <v>672</v>
      </c>
      <c r="N170" t="s">
        <v>672</v>
      </c>
      <c r="O170" t="s">
        <v>942</v>
      </c>
      <c r="P170" t="s">
        <v>672</v>
      </c>
      <c r="Q170" t="s">
        <v>672</v>
      </c>
      <c r="R170" t="s">
        <v>672</v>
      </c>
      <c r="S170">
        <v>702469090</v>
      </c>
      <c r="T170">
        <v>54</v>
      </c>
      <c r="U170" t="s">
        <v>673</v>
      </c>
      <c r="V170" t="s">
        <v>672</v>
      </c>
      <c r="W170" t="s">
        <v>672</v>
      </c>
      <c r="X170" t="s">
        <v>1308</v>
      </c>
      <c r="Y170" t="s">
        <v>672</v>
      </c>
      <c r="Z170" s="1">
        <v>44949</v>
      </c>
      <c r="AA170">
        <v>1</v>
      </c>
      <c r="AB170" t="s">
        <v>672</v>
      </c>
      <c r="AC170" t="s">
        <v>672</v>
      </c>
      <c r="AD170" t="s">
        <v>672</v>
      </c>
      <c r="AE170" t="s">
        <v>672</v>
      </c>
      <c r="AF170" t="s">
        <v>672</v>
      </c>
      <c r="AG170" t="s">
        <v>672</v>
      </c>
      <c r="AH170" t="s">
        <v>672</v>
      </c>
      <c r="AI170" t="s">
        <v>672</v>
      </c>
      <c r="AJ170" t="s">
        <v>672</v>
      </c>
      <c r="AK170" t="s">
        <v>672</v>
      </c>
      <c r="AL170" t="s">
        <v>672</v>
      </c>
      <c r="AM170" t="s">
        <v>672</v>
      </c>
      <c r="AN170" t="s">
        <v>672</v>
      </c>
      <c r="AO170" t="s">
        <v>672</v>
      </c>
      <c r="AP170">
        <v>3</v>
      </c>
      <c r="AQ170">
        <v>1</v>
      </c>
      <c r="AR170" t="s">
        <v>672</v>
      </c>
      <c r="AS170">
        <v>1</v>
      </c>
      <c r="AT170">
        <v>1</v>
      </c>
    </row>
    <row r="171" spans="1:46">
      <c r="A171" t="s">
        <v>58</v>
      </c>
      <c r="B171">
        <v>171</v>
      </c>
      <c r="C171" t="s">
        <v>1310</v>
      </c>
      <c r="D171" t="s">
        <v>672</v>
      </c>
      <c r="E171" t="s">
        <v>672</v>
      </c>
      <c r="F171" t="s">
        <v>672</v>
      </c>
      <c r="G171" t="s">
        <v>1311</v>
      </c>
      <c r="H171" t="s">
        <v>1264</v>
      </c>
      <c r="I171" t="s">
        <v>672</v>
      </c>
      <c r="J171" t="s">
        <v>676</v>
      </c>
      <c r="K171" t="s">
        <v>677</v>
      </c>
      <c r="L171" t="s">
        <v>672</v>
      </c>
      <c r="M171" t="s">
        <v>672</v>
      </c>
      <c r="N171" t="s">
        <v>672</v>
      </c>
      <c r="O171" t="s">
        <v>942</v>
      </c>
      <c r="P171" t="s">
        <v>672</v>
      </c>
      <c r="Q171" t="s">
        <v>672</v>
      </c>
      <c r="R171" t="s">
        <v>672</v>
      </c>
      <c r="S171">
        <v>506899413</v>
      </c>
      <c r="T171">
        <v>54</v>
      </c>
      <c r="U171" t="s">
        <v>673</v>
      </c>
      <c r="V171" t="s">
        <v>672</v>
      </c>
      <c r="W171" t="s">
        <v>672</v>
      </c>
      <c r="X171" t="s">
        <v>939</v>
      </c>
      <c r="Y171" t="s">
        <v>672</v>
      </c>
      <c r="Z171" s="1">
        <v>43854</v>
      </c>
      <c r="AA171">
        <v>1</v>
      </c>
      <c r="AB171" t="s">
        <v>672</v>
      </c>
      <c r="AC171" t="s">
        <v>672</v>
      </c>
      <c r="AD171" t="s">
        <v>672</v>
      </c>
      <c r="AE171" t="s">
        <v>672</v>
      </c>
      <c r="AF171" t="s">
        <v>672</v>
      </c>
      <c r="AG171" t="s">
        <v>672</v>
      </c>
      <c r="AH171" t="s">
        <v>672</v>
      </c>
      <c r="AI171" t="s">
        <v>672</v>
      </c>
      <c r="AJ171" t="s">
        <v>672</v>
      </c>
      <c r="AK171" t="s">
        <v>672</v>
      </c>
      <c r="AL171" t="s">
        <v>672</v>
      </c>
      <c r="AM171" t="s">
        <v>672</v>
      </c>
      <c r="AN171" t="s">
        <v>672</v>
      </c>
      <c r="AO171" t="s">
        <v>672</v>
      </c>
      <c r="AP171">
        <v>3</v>
      </c>
      <c r="AQ171">
        <v>1</v>
      </c>
      <c r="AR171" t="s">
        <v>672</v>
      </c>
      <c r="AS171">
        <v>1</v>
      </c>
      <c r="AT171">
        <v>1</v>
      </c>
    </row>
    <row r="172" spans="1:46">
      <c r="A172" t="s">
        <v>104</v>
      </c>
      <c r="B172">
        <v>172</v>
      </c>
      <c r="C172" t="s">
        <v>105</v>
      </c>
      <c r="D172" t="s">
        <v>672</v>
      </c>
      <c r="E172" t="s">
        <v>672</v>
      </c>
      <c r="F172" t="s">
        <v>672</v>
      </c>
      <c r="G172" t="s">
        <v>1312</v>
      </c>
      <c r="H172" t="s">
        <v>1313</v>
      </c>
      <c r="I172" t="s">
        <v>672</v>
      </c>
      <c r="J172" t="s">
        <v>676</v>
      </c>
      <c r="K172" t="s">
        <v>677</v>
      </c>
      <c r="L172" t="s">
        <v>672</v>
      </c>
      <c r="M172" t="s">
        <v>672</v>
      </c>
      <c r="N172" t="s">
        <v>672</v>
      </c>
      <c r="O172" t="s">
        <v>942</v>
      </c>
      <c r="P172" t="s">
        <v>672</v>
      </c>
      <c r="Q172" t="s">
        <v>672</v>
      </c>
      <c r="R172" t="s">
        <v>672</v>
      </c>
      <c r="T172">
        <v>54</v>
      </c>
      <c r="U172" t="s">
        <v>673</v>
      </c>
      <c r="V172" t="s">
        <v>672</v>
      </c>
      <c r="W172" t="s">
        <v>672</v>
      </c>
      <c r="X172" t="s">
        <v>939</v>
      </c>
      <c r="Y172" t="s">
        <v>672</v>
      </c>
      <c r="Z172" s="1">
        <v>43854</v>
      </c>
      <c r="AA172">
        <v>1</v>
      </c>
      <c r="AB172" t="s">
        <v>672</v>
      </c>
      <c r="AC172" t="s">
        <v>672</v>
      </c>
      <c r="AD172" t="s">
        <v>672</v>
      </c>
      <c r="AE172" t="s">
        <v>672</v>
      </c>
      <c r="AF172" t="s">
        <v>672</v>
      </c>
      <c r="AG172" t="s">
        <v>672</v>
      </c>
      <c r="AH172" t="s">
        <v>672</v>
      </c>
      <c r="AI172" t="s">
        <v>672</v>
      </c>
      <c r="AJ172" t="s">
        <v>672</v>
      </c>
      <c r="AK172" t="s">
        <v>672</v>
      </c>
      <c r="AL172" t="s">
        <v>672</v>
      </c>
      <c r="AM172" t="s">
        <v>672</v>
      </c>
      <c r="AN172" t="s">
        <v>672</v>
      </c>
      <c r="AO172" t="s">
        <v>672</v>
      </c>
      <c r="AP172">
        <v>3</v>
      </c>
      <c r="AQ172">
        <v>1</v>
      </c>
      <c r="AR172" t="s">
        <v>672</v>
      </c>
      <c r="AS172">
        <v>1</v>
      </c>
      <c r="AT172">
        <v>1</v>
      </c>
    </row>
    <row r="173" spans="1:46">
      <c r="A173" t="s">
        <v>1316</v>
      </c>
      <c r="B173">
        <v>173</v>
      </c>
      <c r="C173" t="s">
        <v>1314</v>
      </c>
      <c r="D173" t="s">
        <v>672</v>
      </c>
      <c r="E173" t="s">
        <v>672</v>
      </c>
      <c r="F173" t="s">
        <v>672</v>
      </c>
      <c r="G173" t="s">
        <v>1317</v>
      </c>
      <c r="H173" t="s">
        <v>1318</v>
      </c>
      <c r="I173" t="s">
        <v>672</v>
      </c>
      <c r="J173" t="s">
        <v>676</v>
      </c>
      <c r="K173" t="s">
        <v>677</v>
      </c>
      <c r="L173" t="s">
        <v>672</v>
      </c>
      <c r="M173" t="s">
        <v>672</v>
      </c>
      <c r="N173" t="s">
        <v>672</v>
      </c>
      <c r="O173" t="s">
        <v>942</v>
      </c>
      <c r="P173" t="s">
        <v>672</v>
      </c>
      <c r="Q173" t="s">
        <v>672</v>
      </c>
      <c r="R173" t="s">
        <v>672</v>
      </c>
      <c r="T173">
        <v>54</v>
      </c>
      <c r="U173" t="s">
        <v>673</v>
      </c>
      <c r="V173" t="s">
        <v>672</v>
      </c>
      <c r="W173" t="s">
        <v>672</v>
      </c>
      <c r="X173" t="s">
        <v>1315</v>
      </c>
      <c r="Y173" t="s">
        <v>672</v>
      </c>
      <c r="Z173" s="1">
        <v>43854</v>
      </c>
      <c r="AA173">
        <v>1</v>
      </c>
      <c r="AB173" t="s">
        <v>672</v>
      </c>
      <c r="AC173" t="s">
        <v>672</v>
      </c>
      <c r="AD173" t="s">
        <v>672</v>
      </c>
      <c r="AE173" t="s">
        <v>672</v>
      </c>
      <c r="AF173" t="s">
        <v>672</v>
      </c>
      <c r="AG173" t="s">
        <v>672</v>
      </c>
      <c r="AH173" t="s">
        <v>672</v>
      </c>
      <c r="AI173" t="s">
        <v>672</v>
      </c>
      <c r="AJ173" t="s">
        <v>672</v>
      </c>
      <c r="AK173" t="s">
        <v>672</v>
      </c>
      <c r="AL173" t="s">
        <v>672</v>
      </c>
      <c r="AM173" t="s">
        <v>672</v>
      </c>
      <c r="AN173" t="s">
        <v>672</v>
      </c>
      <c r="AO173" t="s">
        <v>672</v>
      </c>
      <c r="AP173">
        <v>3</v>
      </c>
      <c r="AQ173">
        <v>1</v>
      </c>
      <c r="AR173" t="s">
        <v>672</v>
      </c>
      <c r="AS173">
        <v>1</v>
      </c>
      <c r="AT173">
        <v>1</v>
      </c>
    </row>
    <row r="174" spans="1:46">
      <c r="A174" t="s">
        <v>340</v>
      </c>
      <c r="B174">
        <v>174</v>
      </c>
      <c r="C174" t="s">
        <v>1319</v>
      </c>
      <c r="D174" t="s">
        <v>672</v>
      </c>
      <c r="E174" t="s">
        <v>672</v>
      </c>
      <c r="F174" t="s">
        <v>672</v>
      </c>
      <c r="G174" t="s">
        <v>1321</v>
      </c>
      <c r="H174" t="s">
        <v>1322</v>
      </c>
      <c r="I174" t="s">
        <v>672</v>
      </c>
      <c r="J174" t="s">
        <v>704</v>
      </c>
      <c r="K174" t="s">
        <v>677</v>
      </c>
      <c r="L174" t="s">
        <v>672</v>
      </c>
      <c r="M174" t="s">
        <v>672</v>
      </c>
      <c r="N174" t="s">
        <v>672</v>
      </c>
      <c r="O174" t="s">
        <v>705</v>
      </c>
      <c r="P174" t="s">
        <v>672</v>
      </c>
      <c r="Q174" t="s">
        <v>672</v>
      </c>
      <c r="R174" t="s">
        <v>672</v>
      </c>
      <c r="S174">
        <v>707765675</v>
      </c>
      <c r="T174">
        <v>54</v>
      </c>
      <c r="U174" t="s">
        <v>673</v>
      </c>
      <c r="V174" t="s">
        <v>672</v>
      </c>
      <c r="W174" t="s">
        <v>672</v>
      </c>
      <c r="X174" t="s">
        <v>1320</v>
      </c>
      <c r="Y174" t="s">
        <v>672</v>
      </c>
      <c r="Z174" s="1">
        <v>45040</v>
      </c>
      <c r="AA174">
        <v>1</v>
      </c>
      <c r="AB174" t="s">
        <v>672</v>
      </c>
      <c r="AC174" t="s">
        <v>672</v>
      </c>
      <c r="AD174" t="s">
        <v>672</v>
      </c>
      <c r="AE174" t="s">
        <v>672</v>
      </c>
      <c r="AF174" t="s">
        <v>672</v>
      </c>
      <c r="AG174" t="s">
        <v>672</v>
      </c>
      <c r="AH174" t="s">
        <v>672</v>
      </c>
      <c r="AI174" t="s">
        <v>672</v>
      </c>
      <c r="AJ174" t="s">
        <v>672</v>
      </c>
      <c r="AK174" t="s">
        <v>672</v>
      </c>
      <c r="AL174" t="s">
        <v>672</v>
      </c>
      <c r="AM174" t="s">
        <v>672</v>
      </c>
      <c r="AN174" t="s">
        <v>672</v>
      </c>
      <c r="AO174" t="s">
        <v>672</v>
      </c>
      <c r="AP174">
        <v>3</v>
      </c>
      <c r="AQ174">
        <v>1</v>
      </c>
      <c r="AR174" t="s">
        <v>672</v>
      </c>
      <c r="AS174">
        <v>1</v>
      </c>
      <c r="AT174">
        <v>1</v>
      </c>
    </row>
    <row r="175" spans="1:46">
      <c r="A175" t="s">
        <v>231</v>
      </c>
      <c r="B175">
        <v>175</v>
      </c>
      <c r="C175" t="s">
        <v>1323</v>
      </c>
      <c r="D175" t="s">
        <v>672</v>
      </c>
      <c r="G175" t="s">
        <v>1325</v>
      </c>
      <c r="H175" t="s">
        <v>1326</v>
      </c>
      <c r="J175" t="s">
        <v>704</v>
      </c>
      <c r="K175" t="s">
        <v>677</v>
      </c>
      <c r="O175" t="s">
        <v>705</v>
      </c>
      <c r="S175">
        <v>707708230</v>
      </c>
      <c r="T175">
        <v>54</v>
      </c>
      <c r="U175" t="s">
        <v>673</v>
      </c>
      <c r="X175" t="s">
        <v>1324</v>
      </c>
      <c r="Z175" s="1">
        <v>44224</v>
      </c>
      <c r="AA175">
        <v>1</v>
      </c>
      <c r="AB175" t="s">
        <v>672</v>
      </c>
      <c r="AG175">
        <v>0</v>
      </c>
      <c r="AL175">
        <v>0</v>
      </c>
      <c r="AM175" t="s">
        <v>672</v>
      </c>
      <c r="AN175" t="s">
        <v>672</v>
      </c>
      <c r="AO175" t="s">
        <v>672</v>
      </c>
      <c r="AP175">
        <v>0</v>
      </c>
      <c r="AQ175">
        <v>1</v>
      </c>
      <c r="AR175" t="s">
        <v>672</v>
      </c>
      <c r="AS175">
        <v>1</v>
      </c>
      <c r="AT175">
        <v>1</v>
      </c>
    </row>
    <row r="176" spans="1:46">
      <c r="A176" t="s">
        <v>360</v>
      </c>
      <c r="B176">
        <v>176</v>
      </c>
      <c r="C176" t="s">
        <v>1327</v>
      </c>
      <c r="D176">
        <v>95</v>
      </c>
      <c r="G176" t="s">
        <v>1328</v>
      </c>
      <c r="H176" t="s">
        <v>1329</v>
      </c>
      <c r="J176" t="s">
        <v>704</v>
      </c>
      <c r="K176" t="s">
        <v>677</v>
      </c>
      <c r="O176" t="s">
        <v>692</v>
      </c>
      <c r="S176">
        <v>778433216</v>
      </c>
      <c r="T176">
        <v>54</v>
      </c>
      <c r="U176" t="s">
        <v>673</v>
      </c>
      <c r="Z176" s="1">
        <v>44224</v>
      </c>
      <c r="AA176">
        <v>1</v>
      </c>
      <c r="AB176" t="s">
        <v>672</v>
      </c>
      <c r="AG176">
        <v>0</v>
      </c>
      <c r="AL176">
        <v>0</v>
      </c>
      <c r="AM176" t="s">
        <v>672</v>
      </c>
      <c r="AN176" t="s">
        <v>672</v>
      </c>
      <c r="AO176" t="s">
        <v>672</v>
      </c>
      <c r="AP176">
        <v>0</v>
      </c>
      <c r="AQ176">
        <v>1</v>
      </c>
      <c r="AR176" t="s">
        <v>672</v>
      </c>
      <c r="AS176">
        <v>1</v>
      </c>
      <c r="AT176">
        <v>1</v>
      </c>
    </row>
    <row r="177" spans="1:46">
      <c r="B177">
        <v>177</v>
      </c>
      <c r="C177" t="s">
        <v>1330</v>
      </c>
      <c r="D177" t="s">
        <v>672</v>
      </c>
      <c r="E177" t="s">
        <v>672</v>
      </c>
      <c r="F177" t="s">
        <v>672</v>
      </c>
      <c r="G177" t="s">
        <v>1331</v>
      </c>
      <c r="I177" t="s">
        <v>672</v>
      </c>
      <c r="J177" t="s">
        <v>704</v>
      </c>
      <c r="L177" t="s">
        <v>672</v>
      </c>
      <c r="M177" t="s">
        <v>672</v>
      </c>
      <c r="N177" t="s">
        <v>672</v>
      </c>
      <c r="P177" t="s">
        <v>672</v>
      </c>
      <c r="Q177" t="s">
        <v>672</v>
      </c>
      <c r="R177" t="s">
        <v>672</v>
      </c>
      <c r="S177">
        <v>565117105</v>
      </c>
      <c r="T177">
        <v>54</v>
      </c>
      <c r="U177" t="s">
        <v>673</v>
      </c>
      <c r="V177" t="s">
        <v>672</v>
      </c>
      <c r="W177" t="s">
        <v>672</v>
      </c>
      <c r="X177" t="s">
        <v>978</v>
      </c>
      <c r="Y177" t="s">
        <v>672</v>
      </c>
      <c r="Z177" t="s">
        <v>2144</v>
      </c>
      <c r="AA177">
        <v>1</v>
      </c>
      <c r="AB177" t="s">
        <v>672</v>
      </c>
      <c r="AC177" t="s">
        <v>672</v>
      </c>
      <c r="AD177" t="s">
        <v>672</v>
      </c>
      <c r="AE177" t="s">
        <v>672</v>
      </c>
      <c r="AF177" t="s">
        <v>672</v>
      </c>
      <c r="AG177" t="s">
        <v>672</v>
      </c>
      <c r="AH177" t="s">
        <v>672</v>
      </c>
      <c r="AI177" t="s">
        <v>672</v>
      </c>
      <c r="AJ177" t="s">
        <v>672</v>
      </c>
      <c r="AK177" t="s">
        <v>672</v>
      </c>
      <c r="AL177" t="s">
        <v>672</v>
      </c>
      <c r="AM177" t="s">
        <v>672</v>
      </c>
      <c r="AN177" t="s">
        <v>672</v>
      </c>
      <c r="AO177" t="s">
        <v>672</v>
      </c>
      <c r="AP177">
        <v>3</v>
      </c>
      <c r="AQ177">
        <v>1</v>
      </c>
      <c r="AR177" t="s">
        <v>672</v>
      </c>
      <c r="AS177">
        <v>1</v>
      </c>
      <c r="AT177">
        <v>1</v>
      </c>
    </row>
    <row r="178" spans="1:46">
      <c r="B178">
        <v>178</v>
      </c>
      <c r="C178" t="s">
        <v>1332</v>
      </c>
      <c r="D178" t="s">
        <v>672</v>
      </c>
      <c r="E178" t="s">
        <v>672</v>
      </c>
      <c r="F178" t="s">
        <v>672</v>
      </c>
      <c r="G178" t="s">
        <v>1333</v>
      </c>
      <c r="I178" t="s">
        <v>672</v>
      </c>
      <c r="L178" t="s">
        <v>672</v>
      </c>
      <c r="M178" t="s">
        <v>672</v>
      </c>
      <c r="N178" t="s">
        <v>672</v>
      </c>
      <c r="P178" t="s">
        <v>672</v>
      </c>
      <c r="Q178" t="s">
        <v>672</v>
      </c>
      <c r="R178" t="s">
        <v>672</v>
      </c>
      <c r="T178">
        <v>54</v>
      </c>
      <c r="U178" t="s">
        <v>673</v>
      </c>
      <c r="V178" t="s">
        <v>672</v>
      </c>
      <c r="W178" t="s">
        <v>672</v>
      </c>
      <c r="Y178" t="s">
        <v>672</v>
      </c>
      <c r="Z178" t="s">
        <v>2144</v>
      </c>
      <c r="AA178">
        <v>1</v>
      </c>
      <c r="AB178" t="s">
        <v>672</v>
      </c>
      <c r="AC178" t="s">
        <v>672</v>
      </c>
      <c r="AD178" t="s">
        <v>672</v>
      </c>
      <c r="AE178" t="s">
        <v>672</v>
      </c>
      <c r="AF178" t="s">
        <v>672</v>
      </c>
      <c r="AG178" t="s">
        <v>672</v>
      </c>
      <c r="AH178" t="s">
        <v>672</v>
      </c>
      <c r="AI178" t="s">
        <v>672</v>
      </c>
      <c r="AJ178" t="s">
        <v>672</v>
      </c>
      <c r="AK178" t="s">
        <v>672</v>
      </c>
      <c r="AL178" t="s">
        <v>672</v>
      </c>
      <c r="AM178" t="s">
        <v>672</v>
      </c>
      <c r="AN178" t="s">
        <v>672</v>
      </c>
      <c r="AO178" t="s">
        <v>672</v>
      </c>
      <c r="AP178">
        <v>3</v>
      </c>
      <c r="AQ178">
        <v>1</v>
      </c>
      <c r="AR178" t="s">
        <v>672</v>
      </c>
      <c r="AS178">
        <v>1</v>
      </c>
      <c r="AT178">
        <v>1</v>
      </c>
    </row>
    <row r="179" spans="1:46">
      <c r="B179">
        <v>179</v>
      </c>
      <c r="C179" t="s">
        <v>1334</v>
      </c>
      <c r="D179" t="s">
        <v>672</v>
      </c>
      <c r="E179" t="s">
        <v>672</v>
      </c>
      <c r="F179" t="s">
        <v>672</v>
      </c>
      <c r="G179" t="s">
        <v>1335</v>
      </c>
      <c r="I179" t="s">
        <v>672</v>
      </c>
      <c r="J179" t="s">
        <v>917</v>
      </c>
      <c r="L179" t="s">
        <v>672</v>
      </c>
      <c r="M179" t="s">
        <v>672</v>
      </c>
      <c r="N179" t="s">
        <v>672</v>
      </c>
      <c r="P179" t="s">
        <v>672</v>
      </c>
      <c r="Q179" t="s">
        <v>672</v>
      </c>
      <c r="R179" t="s">
        <v>672</v>
      </c>
      <c r="T179">
        <v>54</v>
      </c>
      <c r="U179" t="s">
        <v>673</v>
      </c>
      <c r="V179" t="s">
        <v>672</v>
      </c>
      <c r="W179" t="s">
        <v>672</v>
      </c>
      <c r="Y179" t="s">
        <v>672</v>
      </c>
      <c r="Z179" t="s">
        <v>2144</v>
      </c>
      <c r="AA179">
        <v>1</v>
      </c>
      <c r="AB179" t="s">
        <v>672</v>
      </c>
      <c r="AC179" t="s">
        <v>672</v>
      </c>
      <c r="AD179" t="s">
        <v>672</v>
      </c>
      <c r="AE179" t="s">
        <v>672</v>
      </c>
      <c r="AF179" t="s">
        <v>672</v>
      </c>
      <c r="AG179" t="s">
        <v>672</v>
      </c>
      <c r="AH179" t="s">
        <v>672</v>
      </c>
      <c r="AI179" t="s">
        <v>672</v>
      </c>
      <c r="AJ179" t="s">
        <v>672</v>
      </c>
      <c r="AK179" t="s">
        <v>672</v>
      </c>
      <c r="AL179" t="s">
        <v>672</v>
      </c>
      <c r="AM179" t="s">
        <v>672</v>
      </c>
      <c r="AN179" t="s">
        <v>672</v>
      </c>
      <c r="AO179" t="s">
        <v>672</v>
      </c>
      <c r="AP179">
        <v>3</v>
      </c>
      <c r="AQ179">
        <v>1</v>
      </c>
      <c r="AR179" t="s">
        <v>672</v>
      </c>
      <c r="AS179">
        <v>1</v>
      </c>
      <c r="AT179">
        <v>1</v>
      </c>
    </row>
    <row r="180" spans="1:46">
      <c r="B180">
        <v>180</v>
      </c>
      <c r="C180" t="s">
        <v>1336</v>
      </c>
      <c r="D180" t="s">
        <v>672</v>
      </c>
      <c r="E180" t="s">
        <v>672</v>
      </c>
      <c r="F180" t="s">
        <v>672</v>
      </c>
      <c r="G180" t="s">
        <v>1337</v>
      </c>
      <c r="I180" t="s">
        <v>672</v>
      </c>
      <c r="J180" t="s">
        <v>704</v>
      </c>
      <c r="L180" t="s">
        <v>672</v>
      </c>
      <c r="M180" t="s">
        <v>672</v>
      </c>
      <c r="N180" t="s">
        <v>672</v>
      </c>
      <c r="P180" t="s">
        <v>672</v>
      </c>
      <c r="Q180" t="s">
        <v>672</v>
      </c>
      <c r="R180" t="s">
        <v>672</v>
      </c>
      <c r="T180">
        <v>54</v>
      </c>
      <c r="U180" t="s">
        <v>673</v>
      </c>
      <c r="V180" t="s">
        <v>672</v>
      </c>
      <c r="W180" t="s">
        <v>672</v>
      </c>
      <c r="Y180" t="s">
        <v>672</v>
      </c>
      <c r="Z180" t="s">
        <v>2144</v>
      </c>
      <c r="AA180">
        <v>1</v>
      </c>
      <c r="AB180" t="s">
        <v>672</v>
      </c>
      <c r="AC180" t="s">
        <v>672</v>
      </c>
      <c r="AD180" t="s">
        <v>672</v>
      </c>
      <c r="AE180" t="s">
        <v>672</v>
      </c>
      <c r="AF180" t="s">
        <v>672</v>
      </c>
      <c r="AG180" t="s">
        <v>672</v>
      </c>
      <c r="AH180" t="s">
        <v>672</v>
      </c>
      <c r="AI180" t="s">
        <v>672</v>
      </c>
      <c r="AJ180" t="s">
        <v>672</v>
      </c>
      <c r="AK180" t="s">
        <v>672</v>
      </c>
      <c r="AL180" t="s">
        <v>672</v>
      </c>
      <c r="AM180" t="s">
        <v>672</v>
      </c>
      <c r="AN180" t="s">
        <v>672</v>
      </c>
      <c r="AO180" t="s">
        <v>672</v>
      </c>
      <c r="AP180">
        <v>3</v>
      </c>
      <c r="AQ180">
        <v>1</v>
      </c>
      <c r="AR180" t="s">
        <v>672</v>
      </c>
      <c r="AS180">
        <v>1</v>
      </c>
      <c r="AT180">
        <v>1</v>
      </c>
    </row>
    <row r="181" spans="1:46">
      <c r="B181">
        <v>181</v>
      </c>
      <c r="C181" t="s">
        <v>802</v>
      </c>
      <c r="D181" t="s">
        <v>672</v>
      </c>
      <c r="E181" t="s">
        <v>672</v>
      </c>
      <c r="F181" t="s">
        <v>672</v>
      </c>
      <c r="G181" t="s">
        <v>1338</v>
      </c>
      <c r="I181" t="s">
        <v>672</v>
      </c>
      <c r="J181" t="s">
        <v>676</v>
      </c>
      <c r="L181" t="s">
        <v>672</v>
      </c>
      <c r="M181" t="s">
        <v>672</v>
      </c>
      <c r="N181" t="s">
        <v>672</v>
      </c>
      <c r="P181" t="s">
        <v>672</v>
      </c>
      <c r="Q181" t="s">
        <v>672</v>
      </c>
      <c r="R181" t="s">
        <v>672</v>
      </c>
      <c r="S181">
        <v>708048295</v>
      </c>
      <c r="T181">
        <v>54</v>
      </c>
      <c r="U181" t="s">
        <v>673</v>
      </c>
      <c r="V181" t="s">
        <v>672</v>
      </c>
      <c r="W181" t="s">
        <v>672</v>
      </c>
      <c r="X181" t="s">
        <v>807</v>
      </c>
      <c r="Y181" t="s">
        <v>672</v>
      </c>
      <c r="Z181" t="s">
        <v>2144</v>
      </c>
      <c r="AA181">
        <v>1</v>
      </c>
      <c r="AB181" t="s">
        <v>672</v>
      </c>
      <c r="AC181" t="s">
        <v>672</v>
      </c>
      <c r="AD181" t="s">
        <v>672</v>
      </c>
      <c r="AE181" t="s">
        <v>672</v>
      </c>
      <c r="AF181" t="s">
        <v>672</v>
      </c>
      <c r="AG181" t="s">
        <v>672</v>
      </c>
      <c r="AH181" t="s">
        <v>672</v>
      </c>
      <c r="AI181" t="s">
        <v>672</v>
      </c>
      <c r="AJ181" t="s">
        <v>672</v>
      </c>
      <c r="AK181" t="s">
        <v>672</v>
      </c>
      <c r="AL181" t="s">
        <v>672</v>
      </c>
      <c r="AM181" t="s">
        <v>672</v>
      </c>
      <c r="AN181" t="s">
        <v>672</v>
      </c>
      <c r="AO181" t="s">
        <v>672</v>
      </c>
      <c r="AP181">
        <v>3</v>
      </c>
      <c r="AQ181">
        <v>1</v>
      </c>
      <c r="AR181" t="s">
        <v>672</v>
      </c>
      <c r="AS181">
        <v>1</v>
      </c>
      <c r="AT181">
        <v>1</v>
      </c>
    </row>
    <row r="182" spans="1:46">
      <c r="B182">
        <v>182</v>
      </c>
      <c r="C182" t="s">
        <v>1339</v>
      </c>
      <c r="D182" t="s">
        <v>672</v>
      </c>
      <c r="E182" t="s">
        <v>672</v>
      </c>
      <c r="F182" t="s">
        <v>672</v>
      </c>
      <c r="G182" t="s">
        <v>1341</v>
      </c>
      <c r="I182" t="s">
        <v>672</v>
      </c>
      <c r="J182" t="s">
        <v>704</v>
      </c>
      <c r="L182" t="s">
        <v>672</v>
      </c>
      <c r="M182" t="s">
        <v>672</v>
      </c>
      <c r="N182" t="s">
        <v>672</v>
      </c>
      <c r="P182" t="s">
        <v>672</v>
      </c>
      <c r="Q182" t="s">
        <v>672</v>
      </c>
      <c r="R182" t="s">
        <v>672</v>
      </c>
      <c r="S182">
        <v>21369577</v>
      </c>
      <c r="T182">
        <v>54</v>
      </c>
      <c r="U182" t="s">
        <v>673</v>
      </c>
      <c r="V182" t="s">
        <v>672</v>
      </c>
      <c r="W182" t="s">
        <v>672</v>
      </c>
      <c r="X182" t="s">
        <v>1340</v>
      </c>
      <c r="Y182" t="s">
        <v>672</v>
      </c>
      <c r="Z182" t="s">
        <v>2144</v>
      </c>
      <c r="AA182">
        <v>1</v>
      </c>
      <c r="AB182" t="s">
        <v>672</v>
      </c>
      <c r="AC182" t="s">
        <v>672</v>
      </c>
      <c r="AD182" t="s">
        <v>672</v>
      </c>
      <c r="AE182" t="s">
        <v>672</v>
      </c>
      <c r="AF182" t="s">
        <v>672</v>
      </c>
      <c r="AG182" t="s">
        <v>672</v>
      </c>
      <c r="AH182" t="s">
        <v>672</v>
      </c>
      <c r="AI182" t="s">
        <v>672</v>
      </c>
      <c r="AJ182" t="s">
        <v>672</v>
      </c>
      <c r="AK182" t="s">
        <v>672</v>
      </c>
      <c r="AL182" t="s">
        <v>672</v>
      </c>
      <c r="AM182" t="s">
        <v>672</v>
      </c>
      <c r="AN182" t="s">
        <v>672</v>
      </c>
      <c r="AO182" t="s">
        <v>672</v>
      </c>
      <c r="AP182">
        <v>3</v>
      </c>
      <c r="AQ182">
        <v>1</v>
      </c>
      <c r="AR182" t="s">
        <v>672</v>
      </c>
      <c r="AS182">
        <v>1</v>
      </c>
      <c r="AT182">
        <v>1</v>
      </c>
    </row>
    <row r="183" spans="1:46">
      <c r="B183">
        <v>183</v>
      </c>
      <c r="C183" t="s">
        <v>1342</v>
      </c>
      <c r="D183" t="s">
        <v>672</v>
      </c>
      <c r="E183" t="s">
        <v>672</v>
      </c>
      <c r="F183" t="s">
        <v>672</v>
      </c>
      <c r="G183" t="s">
        <v>2153</v>
      </c>
      <c r="I183" t="s">
        <v>672</v>
      </c>
      <c r="L183" t="s">
        <v>672</v>
      </c>
      <c r="M183" t="s">
        <v>672</v>
      </c>
      <c r="N183" t="s">
        <v>672</v>
      </c>
      <c r="P183" t="s">
        <v>672</v>
      </c>
      <c r="Q183" t="s">
        <v>672</v>
      </c>
      <c r="R183" t="s">
        <v>672</v>
      </c>
      <c r="T183">
        <v>54</v>
      </c>
      <c r="U183" t="s">
        <v>673</v>
      </c>
      <c r="V183" t="s">
        <v>672</v>
      </c>
      <c r="W183" t="s">
        <v>672</v>
      </c>
      <c r="Y183" t="s">
        <v>672</v>
      </c>
      <c r="Z183" t="s">
        <v>2144</v>
      </c>
      <c r="AA183">
        <v>1</v>
      </c>
      <c r="AB183" t="s">
        <v>672</v>
      </c>
      <c r="AC183" t="s">
        <v>672</v>
      </c>
      <c r="AD183" t="s">
        <v>672</v>
      </c>
      <c r="AE183" t="s">
        <v>672</v>
      </c>
      <c r="AF183" t="s">
        <v>672</v>
      </c>
      <c r="AG183" t="s">
        <v>672</v>
      </c>
      <c r="AH183" t="s">
        <v>672</v>
      </c>
      <c r="AI183" t="s">
        <v>672</v>
      </c>
      <c r="AJ183" t="s">
        <v>672</v>
      </c>
      <c r="AK183" t="s">
        <v>672</v>
      </c>
      <c r="AL183" t="s">
        <v>672</v>
      </c>
      <c r="AM183" t="s">
        <v>672</v>
      </c>
      <c r="AN183" t="s">
        <v>672</v>
      </c>
      <c r="AO183" t="s">
        <v>672</v>
      </c>
      <c r="AP183">
        <v>3</v>
      </c>
      <c r="AQ183">
        <v>1</v>
      </c>
      <c r="AR183" t="s">
        <v>672</v>
      </c>
      <c r="AS183">
        <v>1</v>
      </c>
      <c r="AT183">
        <v>1</v>
      </c>
    </row>
    <row r="184" spans="1:46">
      <c r="B184">
        <v>184</v>
      </c>
      <c r="C184" t="s">
        <v>1344</v>
      </c>
      <c r="D184" t="s">
        <v>672</v>
      </c>
      <c r="E184" t="s">
        <v>672</v>
      </c>
      <c r="F184" t="s">
        <v>672</v>
      </c>
      <c r="G184" t="s">
        <v>2154</v>
      </c>
      <c r="I184" t="s">
        <v>672</v>
      </c>
      <c r="L184" t="s">
        <v>672</v>
      </c>
      <c r="M184" t="s">
        <v>672</v>
      </c>
      <c r="N184" t="s">
        <v>672</v>
      </c>
      <c r="O184" t="s">
        <v>2155</v>
      </c>
      <c r="P184" t="s">
        <v>672</v>
      </c>
      <c r="Q184" t="s">
        <v>672</v>
      </c>
      <c r="R184" t="s">
        <v>672</v>
      </c>
      <c r="T184">
        <v>54</v>
      </c>
      <c r="U184" t="s">
        <v>673</v>
      </c>
      <c r="V184" t="s">
        <v>672</v>
      </c>
      <c r="W184" t="s">
        <v>672</v>
      </c>
      <c r="Y184" t="s">
        <v>672</v>
      </c>
      <c r="Z184" t="s">
        <v>2144</v>
      </c>
      <c r="AA184">
        <v>1</v>
      </c>
      <c r="AB184" t="s">
        <v>672</v>
      </c>
      <c r="AC184" t="s">
        <v>672</v>
      </c>
      <c r="AD184" t="s">
        <v>672</v>
      </c>
      <c r="AE184" t="s">
        <v>672</v>
      </c>
      <c r="AF184" t="s">
        <v>672</v>
      </c>
      <c r="AG184" t="s">
        <v>672</v>
      </c>
      <c r="AH184" t="s">
        <v>672</v>
      </c>
      <c r="AI184" t="s">
        <v>672</v>
      </c>
      <c r="AJ184" t="s">
        <v>672</v>
      </c>
      <c r="AK184" t="s">
        <v>672</v>
      </c>
      <c r="AL184" t="s">
        <v>672</v>
      </c>
      <c r="AM184" t="s">
        <v>672</v>
      </c>
      <c r="AN184" t="s">
        <v>672</v>
      </c>
      <c r="AO184" t="s">
        <v>672</v>
      </c>
      <c r="AP184">
        <v>3</v>
      </c>
      <c r="AQ184">
        <v>1</v>
      </c>
      <c r="AR184" t="s">
        <v>672</v>
      </c>
      <c r="AS184">
        <v>1</v>
      </c>
      <c r="AT184">
        <v>1</v>
      </c>
    </row>
    <row r="185" spans="1:46">
      <c r="B185">
        <v>185</v>
      </c>
      <c r="C185" t="s">
        <v>1345</v>
      </c>
      <c r="D185" t="s">
        <v>672</v>
      </c>
      <c r="E185" t="s">
        <v>672</v>
      </c>
      <c r="F185" t="s">
        <v>672</v>
      </c>
      <c r="G185" t="s">
        <v>2156</v>
      </c>
      <c r="I185" t="s">
        <v>672</v>
      </c>
      <c r="L185" t="s">
        <v>672</v>
      </c>
      <c r="M185" t="s">
        <v>672</v>
      </c>
      <c r="N185" t="s">
        <v>672</v>
      </c>
      <c r="P185" t="s">
        <v>672</v>
      </c>
      <c r="Q185" t="s">
        <v>672</v>
      </c>
      <c r="R185" t="s">
        <v>672</v>
      </c>
      <c r="T185">
        <v>54</v>
      </c>
      <c r="U185" t="s">
        <v>673</v>
      </c>
      <c r="V185" t="s">
        <v>672</v>
      </c>
      <c r="W185" t="s">
        <v>672</v>
      </c>
      <c r="Y185" t="s">
        <v>672</v>
      </c>
      <c r="Z185" t="s">
        <v>2144</v>
      </c>
      <c r="AA185">
        <v>1</v>
      </c>
      <c r="AB185" t="s">
        <v>672</v>
      </c>
      <c r="AC185" t="s">
        <v>672</v>
      </c>
      <c r="AD185" t="s">
        <v>672</v>
      </c>
      <c r="AE185" t="s">
        <v>672</v>
      </c>
      <c r="AF185" t="s">
        <v>672</v>
      </c>
      <c r="AG185" t="s">
        <v>672</v>
      </c>
      <c r="AH185" t="s">
        <v>672</v>
      </c>
      <c r="AI185" t="s">
        <v>672</v>
      </c>
      <c r="AJ185" t="s">
        <v>672</v>
      </c>
      <c r="AK185" t="s">
        <v>672</v>
      </c>
      <c r="AL185" t="s">
        <v>672</v>
      </c>
      <c r="AM185" t="s">
        <v>672</v>
      </c>
      <c r="AN185" t="s">
        <v>672</v>
      </c>
      <c r="AO185" t="s">
        <v>672</v>
      </c>
      <c r="AP185">
        <v>3</v>
      </c>
      <c r="AQ185">
        <v>1</v>
      </c>
      <c r="AR185" t="s">
        <v>672</v>
      </c>
      <c r="AS185">
        <v>1</v>
      </c>
      <c r="AT185">
        <v>1</v>
      </c>
    </row>
    <row r="186" spans="1:46">
      <c r="B186">
        <v>186</v>
      </c>
      <c r="C186" t="s">
        <v>1346</v>
      </c>
      <c r="D186" t="s">
        <v>672</v>
      </c>
      <c r="E186" t="s">
        <v>672</v>
      </c>
      <c r="F186" t="s">
        <v>672</v>
      </c>
      <c r="G186" t="s">
        <v>2157</v>
      </c>
      <c r="I186" t="s">
        <v>672</v>
      </c>
      <c r="L186" t="s">
        <v>672</v>
      </c>
      <c r="M186" t="s">
        <v>672</v>
      </c>
      <c r="N186" t="s">
        <v>672</v>
      </c>
      <c r="P186" t="s">
        <v>672</v>
      </c>
      <c r="Q186" t="s">
        <v>672</v>
      </c>
      <c r="R186" t="s">
        <v>672</v>
      </c>
      <c r="T186">
        <v>54</v>
      </c>
      <c r="U186" t="s">
        <v>673</v>
      </c>
      <c r="V186" t="s">
        <v>672</v>
      </c>
      <c r="W186" t="s">
        <v>672</v>
      </c>
      <c r="Y186" t="s">
        <v>672</v>
      </c>
      <c r="Z186" t="s">
        <v>2144</v>
      </c>
      <c r="AA186">
        <v>1</v>
      </c>
      <c r="AB186" t="s">
        <v>672</v>
      </c>
      <c r="AC186" t="s">
        <v>672</v>
      </c>
      <c r="AD186" t="s">
        <v>672</v>
      </c>
      <c r="AE186" t="s">
        <v>672</v>
      </c>
      <c r="AF186" t="s">
        <v>672</v>
      </c>
      <c r="AG186" t="s">
        <v>672</v>
      </c>
      <c r="AH186" t="s">
        <v>672</v>
      </c>
      <c r="AI186" t="s">
        <v>672</v>
      </c>
      <c r="AJ186" t="s">
        <v>672</v>
      </c>
      <c r="AK186" t="s">
        <v>672</v>
      </c>
      <c r="AL186" t="s">
        <v>672</v>
      </c>
      <c r="AM186" t="s">
        <v>672</v>
      </c>
      <c r="AN186" t="s">
        <v>672</v>
      </c>
      <c r="AO186" t="s">
        <v>672</v>
      </c>
      <c r="AP186">
        <v>3</v>
      </c>
      <c r="AQ186">
        <v>1</v>
      </c>
      <c r="AR186" t="s">
        <v>672</v>
      </c>
      <c r="AS186">
        <v>1</v>
      </c>
      <c r="AT186">
        <v>1</v>
      </c>
    </row>
    <row r="187" spans="1:46">
      <c r="B187">
        <v>187</v>
      </c>
      <c r="C187" t="s">
        <v>1347</v>
      </c>
      <c r="D187" t="s">
        <v>672</v>
      </c>
      <c r="E187" t="s">
        <v>672</v>
      </c>
      <c r="F187" t="s">
        <v>672</v>
      </c>
      <c r="G187" t="s">
        <v>1348</v>
      </c>
      <c r="I187" t="s">
        <v>672</v>
      </c>
      <c r="L187" t="s">
        <v>672</v>
      </c>
      <c r="M187" t="s">
        <v>672</v>
      </c>
      <c r="N187" t="s">
        <v>672</v>
      </c>
      <c r="P187" t="s">
        <v>672</v>
      </c>
      <c r="Q187" t="s">
        <v>672</v>
      </c>
      <c r="R187" t="s">
        <v>672</v>
      </c>
      <c r="T187">
        <v>54</v>
      </c>
      <c r="U187" t="s">
        <v>673</v>
      </c>
      <c r="V187" t="s">
        <v>672</v>
      </c>
      <c r="W187" t="s">
        <v>672</v>
      </c>
      <c r="Y187" t="s">
        <v>672</v>
      </c>
      <c r="Z187" t="s">
        <v>2144</v>
      </c>
      <c r="AA187">
        <v>1</v>
      </c>
      <c r="AB187" t="s">
        <v>672</v>
      </c>
      <c r="AC187" t="s">
        <v>672</v>
      </c>
      <c r="AD187" t="s">
        <v>672</v>
      </c>
      <c r="AE187" t="s">
        <v>672</v>
      </c>
      <c r="AF187" t="s">
        <v>672</v>
      </c>
      <c r="AG187" t="s">
        <v>672</v>
      </c>
      <c r="AH187" t="s">
        <v>672</v>
      </c>
      <c r="AI187" t="s">
        <v>672</v>
      </c>
      <c r="AJ187" t="s">
        <v>672</v>
      </c>
      <c r="AK187" t="s">
        <v>672</v>
      </c>
      <c r="AL187" t="s">
        <v>672</v>
      </c>
      <c r="AM187" t="s">
        <v>672</v>
      </c>
      <c r="AN187" t="s">
        <v>672</v>
      </c>
      <c r="AO187" t="s">
        <v>672</v>
      </c>
      <c r="AP187">
        <v>3</v>
      </c>
      <c r="AQ187">
        <v>1</v>
      </c>
      <c r="AR187" t="s">
        <v>672</v>
      </c>
      <c r="AS187">
        <v>1</v>
      </c>
      <c r="AT187">
        <v>1</v>
      </c>
    </row>
    <row r="188" spans="1:46">
      <c r="A188" t="s">
        <v>440</v>
      </c>
      <c r="B188">
        <v>188</v>
      </c>
      <c r="C188" t="s">
        <v>1349</v>
      </c>
      <c r="D188" t="s">
        <v>672</v>
      </c>
      <c r="E188" t="s">
        <v>672</v>
      </c>
      <c r="F188" t="s">
        <v>672</v>
      </c>
      <c r="G188" t="s">
        <v>2158</v>
      </c>
      <c r="H188" t="s">
        <v>2159</v>
      </c>
      <c r="I188" t="s">
        <v>672</v>
      </c>
      <c r="J188" t="s">
        <v>917</v>
      </c>
      <c r="K188" t="s">
        <v>1352</v>
      </c>
      <c r="L188" t="s">
        <v>672</v>
      </c>
      <c r="M188" t="s">
        <v>672</v>
      </c>
      <c r="N188" t="s">
        <v>672</v>
      </c>
      <c r="O188" t="s">
        <v>750</v>
      </c>
      <c r="P188" t="s">
        <v>672</v>
      </c>
      <c r="Q188" t="s">
        <v>672</v>
      </c>
      <c r="R188" t="s">
        <v>672</v>
      </c>
      <c r="S188">
        <v>708455274</v>
      </c>
      <c r="T188">
        <v>54</v>
      </c>
      <c r="U188" t="s">
        <v>673</v>
      </c>
      <c r="V188" t="s">
        <v>672</v>
      </c>
      <c r="W188" t="s">
        <v>672</v>
      </c>
      <c r="X188" t="s">
        <v>2160</v>
      </c>
      <c r="Y188" t="s">
        <v>672</v>
      </c>
      <c r="Z188" s="1">
        <v>44583</v>
      </c>
      <c r="AA188">
        <v>1</v>
      </c>
      <c r="AB188" t="s">
        <v>672</v>
      </c>
      <c r="AC188" t="s">
        <v>672</v>
      </c>
      <c r="AD188" t="s">
        <v>672</v>
      </c>
      <c r="AE188" t="s">
        <v>672</v>
      </c>
      <c r="AF188" t="s">
        <v>672</v>
      </c>
      <c r="AG188" t="s">
        <v>672</v>
      </c>
      <c r="AH188" t="s">
        <v>672</v>
      </c>
      <c r="AI188" t="s">
        <v>672</v>
      </c>
      <c r="AJ188" t="s">
        <v>672</v>
      </c>
      <c r="AK188" t="s">
        <v>672</v>
      </c>
      <c r="AL188" t="s">
        <v>672</v>
      </c>
      <c r="AM188" t="s">
        <v>672</v>
      </c>
      <c r="AN188" t="s">
        <v>672</v>
      </c>
      <c r="AO188" t="s">
        <v>672</v>
      </c>
      <c r="AP188">
        <v>3</v>
      </c>
      <c r="AQ188">
        <v>1</v>
      </c>
      <c r="AR188" t="s">
        <v>672</v>
      </c>
      <c r="AS188">
        <v>1</v>
      </c>
      <c r="AT188">
        <v>1</v>
      </c>
    </row>
    <row r="189" spans="1:46">
      <c r="A189" t="s">
        <v>364</v>
      </c>
      <c r="B189">
        <v>189</v>
      </c>
      <c r="C189" t="s">
        <v>365</v>
      </c>
      <c r="D189">
        <v>1</v>
      </c>
      <c r="E189" t="s">
        <v>672</v>
      </c>
      <c r="F189" t="s">
        <v>672</v>
      </c>
      <c r="G189" t="s">
        <v>2161</v>
      </c>
      <c r="H189" t="s">
        <v>2162</v>
      </c>
      <c r="I189" t="s">
        <v>1353</v>
      </c>
      <c r="J189" t="s">
        <v>704</v>
      </c>
      <c r="K189" t="s">
        <v>677</v>
      </c>
      <c r="L189" t="s">
        <v>2163</v>
      </c>
      <c r="O189" t="s">
        <v>942</v>
      </c>
      <c r="Q189">
        <v>1000000</v>
      </c>
      <c r="S189">
        <v>707812605</v>
      </c>
      <c r="T189">
        <v>54</v>
      </c>
      <c r="U189" t="s">
        <v>673</v>
      </c>
      <c r="Z189" s="1">
        <v>45306</v>
      </c>
      <c r="AA189">
        <v>1</v>
      </c>
      <c r="AB189" t="s">
        <v>672</v>
      </c>
      <c r="AG189">
        <v>0</v>
      </c>
      <c r="AL189">
        <v>0</v>
      </c>
      <c r="AM189" t="s">
        <v>672</v>
      </c>
      <c r="AN189" t="s">
        <v>672</v>
      </c>
      <c r="AO189" t="s">
        <v>672</v>
      </c>
      <c r="AP189">
        <v>0</v>
      </c>
      <c r="AQ189">
        <v>0</v>
      </c>
      <c r="AR189" t="s">
        <v>672</v>
      </c>
      <c r="AS189">
        <v>1</v>
      </c>
      <c r="AT189">
        <v>5</v>
      </c>
    </row>
    <row r="190" spans="1:46">
      <c r="A190" t="s">
        <v>540</v>
      </c>
      <c r="B190">
        <v>190</v>
      </c>
      <c r="C190" t="s">
        <v>541</v>
      </c>
      <c r="D190">
        <v>78</v>
      </c>
      <c r="E190" t="s">
        <v>2164</v>
      </c>
      <c r="F190" t="s">
        <v>2165</v>
      </c>
      <c r="G190" t="s">
        <v>2166</v>
      </c>
      <c r="H190" t="s">
        <v>2167</v>
      </c>
      <c r="I190" t="s">
        <v>1357</v>
      </c>
      <c r="J190" t="s">
        <v>1078</v>
      </c>
      <c r="K190" t="s">
        <v>677</v>
      </c>
      <c r="L190" t="s">
        <v>1359</v>
      </c>
      <c r="M190" t="s">
        <v>681</v>
      </c>
      <c r="N190" t="s">
        <v>681</v>
      </c>
      <c r="P190" t="s">
        <v>904</v>
      </c>
      <c r="Q190">
        <v>300000</v>
      </c>
      <c r="R190" t="s">
        <v>681</v>
      </c>
      <c r="S190">
        <v>708275908</v>
      </c>
      <c r="T190">
        <v>54</v>
      </c>
      <c r="U190" t="s">
        <v>673</v>
      </c>
      <c r="V190" t="s">
        <v>1356</v>
      </c>
      <c r="W190" t="s">
        <v>2168</v>
      </c>
      <c r="X190" t="s">
        <v>1355</v>
      </c>
      <c r="Y190" t="s">
        <v>681</v>
      </c>
      <c r="Z190" s="1">
        <v>45307</v>
      </c>
      <c r="AA190">
        <v>1</v>
      </c>
      <c r="AB190" t="s">
        <v>672</v>
      </c>
      <c r="AG190">
        <v>0</v>
      </c>
      <c r="AL190">
        <v>0</v>
      </c>
      <c r="AM190" t="s">
        <v>672</v>
      </c>
      <c r="AN190" t="s">
        <v>672</v>
      </c>
      <c r="AO190" t="s">
        <v>672</v>
      </c>
      <c r="AP190">
        <v>0</v>
      </c>
      <c r="AQ190">
        <v>0</v>
      </c>
      <c r="AR190" t="s">
        <v>672</v>
      </c>
      <c r="AS190">
        <v>1</v>
      </c>
      <c r="AT190">
        <v>2</v>
      </c>
    </row>
    <row r="191" spans="1:46">
      <c r="A191" t="s">
        <v>1364</v>
      </c>
      <c r="B191">
        <v>191</v>
      </c>
      <c r="C191" t="s">
        <v>1360</v>
      </c>
      <c r="D191">
        <v>3</v>
      </c>
      <c r="E191" t="s">
        <v>2169</v>
      </c>
      <c r="F191" t="s">
        <v>1361</v>
      </c>
      <c r="G191" t="s">
        <v>1366</v>
      </c>
      <c r="H191" t="s">
        <v>1367</v>
      </c>
      <c r="I191" t="s">
        <v>1363</v>
      </c>
      <c r="J191" t="s">
        <v>704</v>
      </c>
      <c r="K191" t="s">
        <v>712</v>
      </c>
      <c r="L191" t="s">
        <v>1368</v>
      </c>
      <c r="O191" t="s">
        <v>687</v>
      </c>
      <c r="P191" t="s">
        <v>1369</v>
      </c>
      <c r="Q191">
        <v>1000000</v>
      </c>
      <c r="R191" t="s">
        <v>1365</v>
      </c>
      <c r="S191">
        <v>777840068</v>
      </c>
      <c r="T191">
        <v>54</v>
      </c>
      <c r="U191" t="s">
        <v>673</v>
      </c>
      <c r="V191" t="s">
        <v>1362</v>
      </c>
      <c r="X191" t="s">
        <v>2170</v>
      </c>
      <c r="Z191" s="1">
        <v>45307</v>
      </c>
      <c r="AA191">
        <v>1</v>
      </c>
      <c r="AB191" t="s">
        <v>672</v>
      </c>
      <c r="AG191">
        <v>0</v>
      </c>
      <c r="AL191">
        <v>0</v>
      </c>
      <c r="AM191" t="s">
        <v>672</v>
      </c>
      <c r="AN191" t="s">
        <v>672</v>
      </c>
      <c r="AO191" t="s">
        <v>672</v>
      </c>
      <c r="AP191">
        <v>0</v>
      </c>
      <c r="AQ191">
        <v>0</v>
      </c>
      <c r="AR191" t="s">
        <v>672</v>
      </c>
      <c r="AS191">
        <v>1</v>
      </c>
      <c r="AT191">
        <v>4</v>
      </c>
    </row>
    <row r="192" spans="1:46">
      <c r="A192" t="s">
        <v>86</v>
      </c>
      <c r="B192">
        <v>192</v>
      </c>
      <c r="C192" t="s">
        <v>1370</v>
      </c>
      <c r="D192">
        <v>96</v>
      </c>
      <c r="E192" t="s">
        <v>2171</v>
      </c>
      <c r="F192" t="s">
        <v>2139</v>
      </c>
      <c r="G192" t="s">
        <v>2172</v>
      </c>
      <c r="H192" t="s">
        <v>2173</v>
      </c>
      <c r="I192" t="s">
        <v>1374</v>
      </c>
      <c r="J192" t="s">
        <v>704</v>
      </c>
      <c r="K192" t="s">
        <v>677</v>
      </c>
      <c r="L192" t="s">
        <v>1375</v>
      </c>
      <c r="M192" t="s">
        <v>1376</v>
      </c>
      <c r="N192">
        <v>173</v>
      </c>
      <c r="P192" t="s">
        <v>1377</v>
      </c>
      <c r="Q192">
        <v>2000000</v>
      </c>
      <c r="R192" t="s">
        <v>681</v>
      </c>
      <c r="S192">
        <v>788194883</v>
      </c>
      <c r="T192">
        <v>54</v>
      </c>
      <c r="U192" t="s">
        <v>673</v>
      </c>
      <c r="V192" t="s">
        <v>1372</v>
      </c>
      <c r="W192" t="s">
        <v>1373</v>
      </c>
      <c r="X192" t="s">
        <v>1371</v>
      </c>
      <c r="Y192" t="s">
        <v>681</v>
      </c>
      <c r="Z192" s="1">
        <v>45307</v>
      </c>
      <c r="AA192">
        <v>1</v>
      </c>
      <c r="AB192" t="s">
        <v>672</v>
      </c>
      <c r="AG192">
        <v>0</v>
      </c>
      <c r="AL192">
        <v>0</v>
      </c>
      <c r="AM192" t="s">
        <v>672</v>
      </c>
      <c r="AN192" t="s">
        <v>672</v>
      </c>
      <c r="AO192" t="s">
        <v>672</v>
      </c>
      <c r="AP192">
        <v>0</v>
      </c>
      <c r="AQ192">
        <v>0</v>
      </c>
      <c r="AR192" t="s">
        <v>672</v>
      </c>
      <c r="AS192">
        <v>1</v>
      </c>
      <c r="AT192">
        <v>2</v>
      </c>
    </row>
    <row r="193" spans="1:46">
      <c r="A193" t="s">
        <v>195</v>
      </c>
      <c r="B193">
        <v>193</v>
      </c>
      <c r="C193" t="s">
        <v>196</v>
      </c>
      <c r="D193">
        <v>5</v>
      </c>
      <c r="E193" t="s">
        <v>2174</v>
      </c>
      <c r="F193" t="s">
        <v>882</v>
      </c>
      <c r="G193" t="s">
        <v>1382</v>
      </c>
      <c r="H193" t="s">
        <v>1383</v>
      </c>
      <c r="I193" t="s">
        <v>1380</v>
      </c>
      <c r="J193" t="s">
        <v>704</v>
      </c>
      <c r="K193" t="s">
        <v>712</v>
      </c>
      <c r="L193" t="s">
        <v>1384</v>
      </c>
      <c r="M193" t="s">
        <v>1385</v>
      </c>
      <c r="N193">
        <v>565</v>
      </c>
      <c r="O193" t="s">
        <v>705</v>
      </c>
      <c r="P193" t="s">
        <v>1386</v>
      </c>
      <c r="Q193">
        <v>1000000</v>
      </c>
      <c r="R193" t="s">
        <v>1381</v>
      </c>
      <c r="S193">
        <v>556628671</v>
      </c>
      <c r="T193">
        <v>54</v>
      </c>
      <c r="U193" t="s">
        <v>673</v>
      </c>
      <c r="V193" t="s">
        <v>1379</v>
      </c>
      <c r="X193" t="s">
        <v>1378</v>
      </c>
      <c r="Z193" s="1">
        <v>45308</v>
      </c>
      <c r="AA193">
        <v>1</v>
      </c>
      <c r="AB193" t="s">
        <v>672</v>
      </c>
      <c r="AG193">
        <v>0</v>
      </c>
      <c r="AL193">
        <v>0</v>
      </c>
      <c r="AM193" t="s">
        <v>672</v>
      </c>
      <c r="AN193" t="s">
        <v>672</v>
      </c>
      <c r="AO193" t="s">
        <v>672</v>
      </c>
      <c r="AP193">
        <v>0</v>
      </c>
      <c r="AQ193">
        <v>0</v>
      </c>
      <c r="AR193" t="s">
        <v>672</v>
      </c>
      <c r="AS193">
        <v>1</v>
      </c>
      <c r="AT193">
        <v>4</v>
      </c>
    </row>
    <row r="194" spans="1:46">
      <c r="A194" t="s">
        <v>294</v>
      </c>
      <c r="B194">
        <v>194</v>
      </c>
      <c r="C194" t="s">
        <v>295</v>
      </c>
      <c r="D194">
        <v>6</v>
      </c>
      <c r="E194" t="s">
        <v>295</v>
      </c>
      <c r="F194" t="s">
        <v>1388</v>
      </c>
      <c r="G194" t="s">
        <v>1393</v>
      </c>
      <c r="H194" t="s">
        <v>1394</v>
      </c>
      <c r="I194" t="s">
        <v>1391</v>
      </c>
      <c r="J194" t="s">
        <v>676</v>
      </c>
      <c r="K194" t="s">
        <v>677</v>
      </c>
      <c r="L194" t="s">
        <v>1395</v>
      </c>
      <c r="O194" t="s">
        <v>742</v>
      </c>
      <c r="P194" t="s">
        <v>1396</v>
      </c>
      <c r="R194" t="s">
        <v>1392</v>
      </c>
      <c r="S194">
        <v>556628671</v>
      </c>
      <c r="T194">
        <v>54</v>
      </c>
      <c r="U194" t="s">
        <v>673</v>
      </c>
      <c r="V194" t="s">
        <v>1389</v>
      </c>
      <c r="W194" t="s">
        <v>1390</v>
      </c>
      <c r="X194" t="s">
        <v>2175</v>
      </c>
      <c r="Z194" s="1">
        <v>45308</v>
      </c>
      <c r="AA194">
        <v>1</v>
      </c>
      <c r="AB194" t="s">
        <v>672</v>
      </c>
      <c r="AG194">
        <v>0</v>
      </c>
      <c r="AL194">
        <v>0</v>
      </c>
      <c r="AM194" t="s">
        <v>672</v>
      </c>
      <c r="AN194" t="s">
        <v>672</v>
      </c>
      <c r="AO194" t="s">
        <v>672</v>
      </c>
      <c r="AP194">
        <v>0</v>
      </c>
      <c r="AQ194">
        <v>0</v>
      </c>
      <c r="AR194" t="s">
        <v>672</v>
      </c>
      <c r="AS194">
        <v>1</v>
      </c>
      <c r="AT194">
        <v>4</v>
      </c>
    </row>
    <row r="195" spans="1:46">
      <c r="A195" t="s">
        <v>1401</v>
      </c>
      <c r="B195">
        <v>195</v>
      </c>
      <c r="C195" t="s">
        <v>1397</v>
      </c>
      <c r="D195">
        <v>51</v>
      </c>
      <c r="E195" t="s">
        <v>2176</v>
      </c>
      <c r="F195" t="s">
        <v>882</v>
      </c>
      <c r="G195" t="s">
        <v>1403</v>
      </c>
      <c r="H195" t="s">
        <v>1404</v>
      </c>
      <c r="I195" t="s">
        <v>1400</v>
      </c>
      <c r="J195" t="s">
        <v>704</v>
      </c>
      <c r="K195" t="s">
        <v>677</v>
      </c>
      <c r="L195" t="s">
        <v>1405</v>
      </c>
      <c r="O195" t="s">
        <v>750</v>
      </c>
      <c r="P195" t="s">
        <v>1406</v>
      </c>
      <c r="Q195">
        <v>1000000</v>
      </c>
      <c r="R195" t="s">
        <v>1402</v>
      </c>
      <c r="S195">
        <v>556628671</v>
      </c>
      <c r="T195">
        <v>54</v>
      </c>
      <c r="U195" t="s">
        <v>673</v>
      </c>
      <c r="V195" t="s">
        <v>1399</v>
      </c>
      <c r="X195" t="s">
        <v>1398</v>
      </c>
      <c r="Z195" s="1">
        <v>45308</v>
      </c>
      <c r="AA195">
        <v>1</v>
      </c>
      <c r="AB195" t="s">
        <v>672</v>
      </c>
      <c r="AG195">
        <v>0</v>
      </c>
      <c r="AL195">
        <v>0</v>
      </c>
      <c r="AM195" t="s">
        <v>672</v>
      </c>
      <c r="AN195" t="s">
        <v>672</v>
      </c>
      <c r="AO195" t="s">
        <v>672</v>
      </c>
      <c r="AP195">
        <v>0</v>
      </c>
      <c r="AQ195">
        <v>0</v>
      </c>
      <c r="AR195" t="s">
        <v>672</v>
      </c>
      <c r="AS195">
        <v>1</v>
      </c>
      <c r="AT195">
        <v>4</v>
      </c>
    </row>
    <row r="196" spans="1:46">
      <c r="A196" t="s">
        <v>430</v>
      </c>
      <c r="B196">
        <v>196</v>
      </c>
      <c r="C196" t="s">
        <v>2177</v>
      </c>
      <c r="D196">
        <v>78</v>
      </c>
      <c r="E196" t="s">
        <v>2178</v>
      </c>
      <c r="F196" t="s">
        <v>1408</v>
      </c>
      <c r="G196" t="s">
        <v>1411</v>
      </c>
      <c r="H196" t="s">
        <v>1412</v>
      </c>
      <c r="I196" t="s">
        <v>1410</v>
      </c>
      <c r="J196" t="s">
        <v>704</v>
      </c>
      <c r="K196" t="s">
        <v>712</v>
      </c>
      <c r="L196" t="s">
        <v>1413</v>
      </c>
      <c r="Q196">
        <v>1000000</v>
      </c>
      <c r="S196">
        <v>504811010</v>
      </c>
      <c r="T196">
        <v>54</v>
      </c>
      <c r="U196" t="s">
        <v>1111</v>
      </c>
      <c r="V196" t="s">
        <v>1409</v>
      </c>
      <c r="X196" t="s">
        <v>1407</v>
      </c>
      <c r="Z196" s="1">
        <v>45310</v>
      </c>
      <c r="AA196">
        <v>1</v>
      </c>
      <c r="AB196" t="s">
        <v>672</v>
      </c>
      <c r="AG196">
        <v>0</v>
      </c>
      <c r="AL196">
        <v>0</v>
      </c>
      <c r="AM196" t="s">
        <v>672</v>
      </c>
      <c r="AN196" t="s">
        <v>672</v>
      </c>
      <c r="AO196" t="s">
        <v>672</v>
      </c>
      <c r="AP196">
        <v>0</v>
      </c>
      <c r="AQ196">
        <v>0</v>
      </c>
      <c r="AR196" t="s">
        <v>672</v>
      </c>
      <c r="AS196">
        <v>1</v>
      </c>
      <c r="AT196">
        <v>4</v>
      </c>
    </row>
    <row r="197" spans="1:46">
      <c r="A197" t="s">
        <v>263</v>
      </c>
      <c r="B197">
        <v>197</v>
      </c>
      <c r="C197" t="s">
        <v>2179</v>
      </c>
      <c r="D197">
        <v>95</v>
      </c>
      <c r="E197" t="s">
        <v>264</v>
      </c>
      <c r="F197" t="s">
        <v>1415</v>
      </c>
      <c r="G197" t="s">
        <v>1418</v>
      </c>
      <c r="H197" t="s">
        <v>1419</v>
      </c>
      <c r="I197" t="s">
        <v>1417</v>
      </c>
      <c r="J197" t="s">
        <v>676</v>
      </c>
      <c r="K197" t="s">
        <v>677</v>
      </c>
      <c r="L197" t="s">
        <v>1420</v>
      </c>
      <c r="O197" t="s">
        <v>692</v>
      </c>
      <c r="S197">
        <v>707824285</v>
      </c>
      <c r="T197">
        <v>54</v>
      </c>
      <c r="U197" t="s">
        <v>1416</v>
      </c>
      <c r="X197" t="s">
        <v>1414</v>
      </c>
      <c r="Z197" s="1">
        <v>45310</v>
      </c>
      <c r="AA197">
        <v>1</v>
      </c>
      <c r="AB197" t="s">
        <v>672</v>
      </c>
      <c r="AG197">
        <v>0</v>
      </c>
      <c r="AL197">
        <v>0</v>
      </c>
      <c r="AM197" t="s">
        <v>672</v>
      </c>
      <c r="AN197" t="s">
        <v>672</v>
      </c>
      <c r="AO197" t="s">
        <v>672</v>
      </c>
      <c r="AP197">
        <v>0</v>
      </c>
      <c r="AQ197">
        <v>0</v>
      </c>
      <c r="AR197" t="s">
        <v>672</v>
      </c>
      <c r="AS197">
        <v>1</v>
      </c>
      <c r="AT197">
        <v>4</v>
      </c>
    </row>
    <row r="198" spans="1:46">
      <c r="A198" t="s">
        <v>205</v>
      </c>
      <c r="B198">
        <v>198</v>
      </c>
      <c r="C198" t="s">
        <v>2180</v>
      </c>
      <c r="D198">
        <v>95</v>
      </c>
      <c r="E198" t="s">
        <v>2181</v>
      </c>
      <c r="F198" t="s">
        <v>1408</v>
      </c>
      <c r="G198" t="s">
        <v>2182</v>
      </c>
      <c r="H198" t="s">
        <v>2183</v>
      </c>
      <c r="I198" t="s">
        <v>1422</v>
      </c>
      <c r="J198" t="s">
        <v>704</v>
      </c>
      <c r="K198" t="s">
        <v>677</v>
      </c>
      <c r="L198" t="s">
        <v>2184</v>
      </c>
      <c r="M198" t="s">
        <v>869</v>
      </c>
      <c r="N198">
        <v>1175</v>
      </c>
      <c r="O198" t="s">
        <v>692</v>
      </c>
      <c r="P198" t="s">
        <v>1424</v>
      </c>
      <c r="Q198" s="2">
        <v>1000000</v>
      </c>
      <c r="S198">
        <v>749573820</v>
      </c>
      <c r="T198">
        <v>54</v>
      </c>
      <c r="U198" t="s">
        <v>1416</v>
      </c>
      <c r="X198" t="s">
        <v>1421</v>
      </c>
      <c r="Z198" s="1">
        <v>45313</v>
      </c>
      <c r="AA198">
        <v>1</v>
      </c>
      <c r="AB198" t="s">
        <v>672</v>
      </c>
      <c r="AG198">
        <v>0</v>
      </c>
      <c r="AL198">
        <v>0</v>
      </c>
      <c r="AM198" t="s">
        <v>672</v>
      </c>
      <c r="AN198" t="s">
        <v>672</v>
      </c>
      <c r="AO198" t="s">
        <v>672</v>
      </c>
      <c r="AP198">
        <v>0</v>
      </c>
      <c r="AQ198">
        <v>0</v>
      </c>
      <c r="AR198" t="s">
        <v>672</v>
      </c>
      <c r="AS198">
        <v>1</v>
      </c>
      <c r="AT198">
        <v>6</v>
      </c>
    </row>
    <row r="199" spans="1:46">
      <c r="A199" t="s">
        <v>532</v>
      </c>
      <c r="B199">
        <v>199</v>
      </c>
      <c r="C199" t="s">
        <v>2185</v>
      </c>
      <c r="D199">
        <v>10</v>
      </c>
      <c r="E199" t="s">
        <v>2186</v>
      </c>
      <c r="F199" t="s">
        <v>1440</v>
      </c>
      <c r="G199" t="s">
        <v>2187</v>
      </c>
      <c r="H199" t="s">
        <v>2188</v>
      </c>
      <c r="I199" t="s">
        <v>1426</v>
      </c>
      <c r="J199" t="s">
        <v>704</v>
      </c>
      <c r="K199" t="s">
        <v>677</v>
      </c>
      <c r="L199" t="s">
        <v>2189</v>
      </c>
      <c r="O199" t="s">
        <v>692</v>
      </c>
      <c r="Q199">
        <v>1000000</v>
      </c>
      <c r="S199">
        <v>707095788</v>
      </c>
      <c r="T199">
        <v>54</v>
      </c>
      <c r="U199" t="s">
        <v>1416</v>
      </c>
      <c r="X199" t="s">
        <v>1425</v>
      </c>
      <c r="Z199" s="1">
        <v>45313</v>
      </c>
      <c r="AA199">
        <v>1</v>
      </c>
      <c r="AB199" t="s">
        <v>672</v>
      </c>
      <c r="AG199">
        <v>0</v>
      </c>
      <c r="AL199">
        <v>0</v>
      </c>
      <c r="AM199" t="s">
        <v>672</v>
      </c>
      <c r="AN199" t="s">
        <v>672</v>
      </c>
      <c r="AO199" t="s">
        <v>672</v>
      </c>
      <c r="AP199">
        <v>0</v>
      </c>
      <c r="AQ199">
        <v>0</v>
      </c>
      <c r="AR199" t="s">
        <v>672</v>
      </c>
      <c r="AS199">
        <v>1</v>
      </c>
      <c r="AT199">
        <v>6</v>
      </c>
    </row>
    <row r="200" spans="1:46">
      <c r="A200" t="s">
        <v>112</v>
      </c>
      <c r="B200">
        <v>200</v>
      </c>
      <c r="C200" t="s">
        <v>113</v>
      </c>
      <c r="D200">
        <v>95</v>
      </c>
      <c r="E200" t="s">
        <v>2190</v>
      </c>
      <c r="F200" t="s">
        <v>882</v>
      </c>
      <c r="G200" t="s">
        <v>1431</v>
      </c>
      <c r="H200" t="s">
        <v>1432</v>
      </c>
      <c r="I200" t="s">
        <v>1430</v>
      </c>
      <c r="J200" t="s">
        <v>704</v>
      </c>
      <c r="K200" t="s">
        <v>677</v>
      </c>
      <c r="L200" t="s">
        <v>1433</v>
      </c>
      <c r="O200" t="s">
        <v>687</v>
      </c>
      <c r="P200" t="s">
        <v>1434</v>
      </c>
      <c r="Q200">
        <v>1000000</v>
      </c>
      <c r="S200">
        <v>757723842</v>
      </c>
      <c r="T200">
        <v>54</v>
      </c>
      <c r="U200" t="s">
        <v>1416</v>
      </c>
      <c r="X200" t="s">
        <v>1429</v>
      </c>
      <c r="Z200" s="1">
        <v>45314</v>
      </c>
      <c r="AA200">
        <v>1</v>
      </c>
      <c r="AB200" t="s">
        <v>672</v>
      </c>
      <c r="AG200">
        <v>0</v>
      </c>
      <c r="AL200">
        <v>0</v>
      </c>
      <c r="AM200" t="s">
        <v>672</v>
      </c>
      <c r="AN200" t="s">
        <v>672</v>
      </c>
      <c r="AO200" t="s">
        <v>672</v>
      </c>
      <c r="AP200">
        <v>0</v>
      </c>
      <c r="AQ200">
        <v>0</v>
      </c>
      <c r="AR200" t="s">
        <v>672</v>
      </c>
      <c r="AS200">
        <v>1</v>
      </c>
      <c r="AT200">
        <v>4</v>
      </c>
    </row>
    <row r="201" spans="1:46">
      <c r="A201" t="s">
        <v>318</v>
      </c>
      <c r="B201">
        <v>201</v>
      </c>
      <c r="C201" t="s">
        <v>2191</v>
      </c>
      <c r="D201">
        <v>95</v>
      </c>
      <c r="E201" t="s">
        <v>2192</v>
      </c>
      <c r="F201" t="s">
        <v>1440</v>
      </c>
      <c r="G201" t="s">
        <v>2193</v>
      </c>
      <c r="H201" t="s">
        <v>2194</v>
      </c>
      <c r="I201" t="s">
        <v>1436</v>
      </c>
      <c r="J201" t="s">
        <v>704</v>
      </c>
      <c r="K201" t="s">
        <v>677</v>
      </c>
      <c r="L201" t="s">
        <v>2195</v>
      </c>
      <c r="M201" t="s">
        <v>2196</v>
      </c>
      <c r="N201">
        <v>23</v>
      </c>
      <c r="O201" t="s">
        <v>692</v>
      </c>
      <c r="Q201" s="2">
        <v>1000000</v>
      </c>
      <c r="S201">
        <v>708509238</v>
      </c>
      <c r="T201">
        <v>54</v>
      </c>
      <c r="U201" t="s">
        <v>1416</v>
      </c>
      <c r="X201" t="s">
        <v>1435</v>
      </c>
      <c r="Z201" s="1">
        <v>45314</v>
      </c>
      <c r="AA201">
        <v>1</v>
      </c>
      <c r="AB201" t="s">
        <v>672</v>
      </c>
      <c r="AG201">
        <v>0</v>
      </c>
      <c r="AL201">
        <v>0</v>
      </c>
      <c r="AM201" t="s">
        <v>672</v>
      </c>
      <c r="AN201" t="s">
        <v>672</v>
      </c>
      <c r="AO201" t="s">
        <v>672</v>
      </c>
      <c r="AP201">
        <v>0</v>
      </c>
      <c r="AQ201">
        <v>0</v>
      </c>
      <c r="AR201" t="s">
        <v>672</v>
      </c>
      <c r="AS201">
        <v>1</v>
      </c>
      <c r="AT201">
        <v>6</v>
      </c>
    </row>
    <row r="202" spans="1:46">
      <c r="A202" t="s">
        <v>434</v>
      </c>
      <c r="B202">
        <v>203</v>
      </c>
      <c r="C202" t="s">
        <v>2197</v>
      </c>
      <c r="D202">
        <v>13</v>
      </c>
      <c r="E202" t="s">
        <v>2198</v>
      </c>
      <c r="F202" t="s">
        <v>1440</v>
      </c>
      <c r="G202" t="s">
        <v>1442</v>
      </c>
      <c r="H202" t="s">
        <v>1443</v>
      </c>
      <c r="I202" t="s">
        <v>1441</v>
      </c>
      <c r="J202" t="s">
        <v>704</v>
      </c>
      <c r="K202" t="s">
        <v>677</v>
      </c>
      <c r="L202" t="s">
        <v>1444</v>
      </c>
      <c r="O202" t="s">
        <v>942</v>
      </c>
      <c r="P202" t="s">
        <v>1369</v>
      </c>
      <c r="Q202" s="2">
        <v>1000000</v>
      </c>
      <c r="S202">
        <v>102074992</v>
      </c>
      <c r="T202">
        <v>54</v>
      </c>
      <c r="U202" t="s">
        <v>1416</v>
      </c>
      <c r="X202" t="s">
        <v>1439</v>
      </c>
      <c r="Z202" s="1">
        <v>45315</v>
      </c>
      <c r="AA202">
        <v>1</v>
      </c>
      <c r="AB202" t="s">
        <v>672</v>
      </c>
      <c r="AG202">
        <v>0</v>
      </c>
      <c r="AL202">
        <v>0</v>
      </c>
      <c r="AM202" t="s">
        <v>672</v>
      </c>
      <c r="AN202" t="s">
        <v>672</v>
      </c>
      <c r="AO202" t="s">
        <v>672</v>
      </c>
      <c r="AP202">
        <v>0</v>
      </c>
      <c r="AQ202">
        <v>0</v>
      </c>
      <c r="AR202" t="s">
        <v>672</v>
      </c>
      <c r="AS202">
        <v>1</v>
      </c>
      <c r="AT202">
        <v>6</v>
      </c>
    </row>
    <row r="203" spans="1:46">
      <c r="A203" t="s">
        <v>64</v>
      </c>
      <c r="B203">
        <v>204</v>
      </c>
      <c r="C203" t="s">
        <v>1445</v>
      </c>
      <c r="D203">
        <v>95</v>
      </c>
      <c r="E203" t="s">
        <v>2199</v>
      </c>
      <c r="F203" t="s">
        <v>1447</v>
      </c>
      <c r="G203" t="s">
        <v>1450</v>
      </c>
      <c r="H203" t="s">
        <v>1451</v>
      </c>
      <c r="I203" t="s">
        <v>1449</v>
      </c>
      <c r="J203" t="s">
        <v>1078</v>
      </c>
      <c r="K203" t="s">
        <v>677</v>
      </c>
      <c r="L203" t="s">
        <v>1452</v>
      </c>
      <c r="M203" t="s">
        <v>1453</v>
      </c>
      <c r="N203">
        <v>297</v>
      </c>
      <c r="O203" t="s">
        <v>834</v>
      </c>
      <c r="P203" t="s">
        <v>1454</v>
      </c>
      <c r="Q203" s="2">
        <v>10000000</v>
      </c>
      <c r="S203">
        <v>778292924</v>
      </c>
      <c r="T203">
        <v>54</v>
      </c>
      <c r="U203" t="s">
        <v>1416</v>
      </c>
      <c r="W203" t="s">
        <v>1448</v>
      </c>
      <c r="X203" t="s">
        <v>1446</v>
      </c>
      <c r="Z203" s="1">
        <v>45315</v>
      </c>
      <c r="AA203">
        <v>1</v>
      </c>
      <c r="AB203" t="s">
        <v>672</v>
      </c>
      <c r="AG203">
        <v>0</v>
      </c>
      <c r="AL203">
        <v>0</v>
      </c>
      <c r="AM203" t="s">
        <v>672</v>
      </c>
      <c r="AN203" t="s">
        <v>672</v>
      </c>
      <c r="AO203" t="s">
        <v>672</v>
      </c>
      <c r="AP203">
        <v>0</v>
      </c>
      <c r="AQ203">
        <v>0</v>
      </c>
      <c r="AR203" t="s">
        <v>672</v>
      </c>
      <c r="AS203">
        <v>1</v>
      </c>
      <c r="AT203">
        <v>6</v>
      </c>
    </row>
    <row r="204" spans="1:46">
      <c r="A204" t="s">
        <v>110</v>
      </c>
      <c r="B204">
        <v>205</v>
      </c>
      <c r="C204" t="s">
        <v>1455</v>
      </c>
      <c r="D204">
        <v>95</v>
      </c>
      <c r="E204" t="s">
        <v>1455</v>
      </c>
      <c r="F204" t="s">
        <v>1408</v>
      </c>
      <c r="G204" t="s">
        <v>1461</v>
      </c>
      <c r="H204" t="s">
        <v>1462</v>
      </c>
      <c r="I204" t="s">
        <v>1459</v>
      </c>
      <c r="J204" t="s">
        <v>676</v>
      </c>
      <c r="K204" t="s">
        <v>677</v>
      </c>
      <c r="L204" t="s">
        <v>1463</v>
      </c>
      <c r="M204" t="s">
        <v>1464</v>
      </c>
      <c r="N204">
        <v>12</v>
      </c>
      <c r="O204" t="s">
        <v>687</v>
      </c>
      <c r="P204" t="s">
        <v>1465</v>
      </c>
      <c r="Q204" s="2">
        <v>1000000</v>
      </c>
      <c r="R204" t="s">
        <v>1460</v>
      </c>
      <c r="S204">
        <v>505714618</v>
      </c>
      <c r="T204">
        <v>54</v>
      </c>
      <c r="U204" t="s">
        <v>1416</v>
      </c>
      <c r="V204" t="s">
        <v>1457</v>
      </c>
      <c r="W204" t="s">
        <v>1458</v>
      </c>
      <c r="X204" t="s">
        <v>1456</v>
      </c>
      <c r="Z204" s="1">
        <v>45315</v>
      </c>
      <c r="AA204">
        <v>1</v>
      </c>
      <c r="AB204" t="s">
        <v>672</v>
      </c>
      <c r="AG204">
        <v>0</v>
      </c>
      <c r="AL204">
        <v>0</v>
      </c>
      <c r="AM204" t="s">
        <v>672</v>
      </c>
      <c r="AN204" t="s">
        <v>672</v>
      </c>
      <c r="AO204" t="s">
        <v>672</v>
      </c>
      <c r="AP204">
        <v>0</v>
      </c>
      <c r="AQ204">
        <v>0</v>
      </c>
      <c r="AR204" t="s">
        <v>672</v>
      </c>
      <c r="AS204">
        <v>1</v>
      </c>
      <c r="AT204">
        <v>6</v>
      </c>
    </row>
    <row r="205" spans="1:46">
      <c r="A205" t="s">
        <v>298</v>
      </c>
      <c r="B205">
        <v>206</v>
      </c>
      <c r="C205" t="s">
        <v>2200</v>
      </c>
      <c r="D205">
        <v>78</v>
      </c>
      <c r="E205" t="s">
        <v>2201</v>
      </c>
      <c r="F205" t="s">
        <v>1440</v>
      </c>
      <c r="G205" t="s">
        <v>1468</v>
      </c>
      <c r="H205" t="s">
        <v>1469</v>
      </c>
      <c r="I205" t="s">
        <v>1467</v>
      </c>
      <c r="J205" t="s">
        <v>704</v>
      </c>
      <c r="K205" t="s">
        <v>677</v>
      </c>
      <c r="L205" t="s">
        <v>1470</v>
      </c>
      <c r="M205" t="s">
        <v>1471</v>
      </c>
      <c r="N205">
        <v>26</v>
      </c>
      <c r="P205" t="s">
        <v>1472</v>
      </c>
      <c r="Q205">
        <v>1000000</v>
      </c>
      <c r="S205">
        <v>759999163</v>
      </c>
      <c r="T205">
        <v>54</v>
      </c>
      <c r="U205" t="s">
        <v>1416</v>
      </c>
      <c r="X205" t="s">
        <v>1466</v>
      </c>
      <c r="Z205" s="1">
        <v>45315</v>
      </c>
      <c r="AA205">
        <v>1</v>
      </c>
      <c r="AB205" t="s">
        <v>672</v>
      </c>
      <c r="AG205">
        <v>0</v>
      </c>
      <c r="AL205">
        <v>0</v>
      </c>
      <c r="AM205" t="s">
        <v>672</v>
      </c>
      <c r="AN205" t="s">
        <v>672</v>
      </c>
      <c r="AO205" t="s">
        <v>672</v>
      </c>
      <c r="AP205">
        <v>0</v>
      </c>
      <c r="AQ205">
        <v>0</v>
      </c>
      <c r="AR205" t="s">
        <v>672</v>
      </c>
      <c r="AS205">
        <v>1</v>
      </c>
      <c r="AT205">
        <v>6</v>
      </c>
    </row>
    <row r="206" spans="1:46">
      <c r="A206" t="s">
        <v>54</v>
      </c>
      <c r="B206">
        <v>207</v>
      </c>
      <c r="C206" t="s">
        <v>55</v>
      </c>
      <c r="D206">
        <v>95</v>
      </c>
      <c r="E206" t="s">
        <v>2202</v>
      </c>
      <c r="F206" t="s">
        <v>1440</v>
      </c>
      <c r="G206" t="s">
        <v>1475</v>
      </c>
      <c r="H206" t="s">
        <v>1476</v>
      </c>
      <c r="I206" t="s">
        <v>1474</v>
      </c>
      <c r="J206" t="s">
        <v>676</v>
      </c>
      <c r="K206" t="s">
        <v>677</v>
      </c>
      <c r="L206" t="s">
        <v>1477</v>
      </c>
      <c r="O206" t="s">
        <v>942</v>
      </c>
      <c r="P206" t="s">
        <v>1478</v>
      </c>
      <c r="Q206" s="2">
        <v>1000000</v>
      </c>
      <c r="S206">
        <v>708537463</v>
      </c>
      <c r="T206">
        <v>54</v>
      </c>
      <c r="U206" t="s">
        <v>1416</v>
      </c>
      <c r="X206" t="s">
        <v>1473</v>
      </c>
      <c r="Z206" s="1">
        <v>45315</v>
      </c>
      <c r="AA206">
        <v>1</v>
      </c>
      <c r="AB206" t="s">
        <v>672</v>
      </c>
      <c r="AG206">
        <v>0</v>
      </c>
      <c r="AL206">
        <v>0</v>
      </c>
      <c r="AM206" t="s">
        <v>672</v>
      </c>
      <c r="AN206" t="s">
        <v>672</v>
      </c>
      <c r="AO206" t="s">
        <v>672</v>
      </c>
      <c r="AP206">
        <v>0</v>
      </c>
      <c r="AQ206">
        <v>0</v>
      </c>
      <c r="AR206" t="s">
        <v>672</v>
      </c>
      <c r="AS206">
        <v>1</v>
      </c>
      <c r="AT206">
        <v>6</v>
      </c>
    </row>
    <row r="207" spans="1:46">
      <c r="A207" t="s">
        <v>50</v>
      </c>
      <c r="B207">
        <v>208</v>
      </c>
      <c r="C207" t="s">
        <v>1479</v>
      </c>
      <c r="D207">
        <v>95</v>
      </c>
      <c r="E207" t="s">
        <v>51</v>
      </c>
      <c r="F207" t="s">
        <v>1408</v>
      </c>
      <c r="G207" t="s">
        <v>1482</v>
      </c>
      <c r="H207" t="s">
        <v>1483</v>
      </c>
      <c r="I207" t="s">
        <v>1481</v>
      </c>
      <c r="J207" t="s">
        <v>676</v>
      </c>
      <c r="K207" t="s">
        <v>677</v>
      </c>
      <c r="L207" t="s">
        <v>1484</v>
      </c>
      <c r="M207" t="s">
        <v>1485</v>
      </c>
      <c r="N207">
        <v>201</v>
      </c>
      <c r="O207" t="s">
        <v>687</v>
      </c>
      <c r="P207" t="s">
        <v>1486</v>
      </c>
      <c r="Q207" s="2">
        <v>1000000</v>
      </c>
      <c r="S207">
        <v>709899557</v>
      </c>
      <c r="T207">
        <v>54</v>
      </c>
      <c r="U207" t="s">
        <v>1111</v>
      </c>
      <c r="X207" t="s">
        <v>1480</v>
      </c>
      <c r="Z207" s="1">
        <v>45315</v>
      </c>
      <c r="AA207">
        <v>1</v>
      </c>
      <c r="AB207" t="s">
        <v>672</v>
      </c>
      <c r="AG207">
        <v>0</v>
      </c>
      <c r="AL207">
        <v>0</v>
      </c>
      <c r="AM207" t="s">
        <v>672</v>
      </c>
      <c r="AN207" t="s">
        <v>672</v>
      </c>
      <c r="AO207" t="s">
        <v>672</v>
      </c>
      <c r="AP207">
        <v>0</v>
      </c>
      <c r="AQ207">
        <v>0</v>
      </c>
      <c r="AR207" t="s">
        <v>672</v>
      </c>
      <c r="AS207">
        <v>1</v>
      </c>
      <c r="AT207">
        <v>6</v>
      </c>
    </row>
    <row r="208" spans="1:46">
      <c r="A208" t="s">
        <v>330</v>
      </c>
      <c r="B208">
        <v>209</v>
      </c>
      <c r="C208" t="s">
        <v>2203</v>
      </c>
      <c r="D208">
        <v>19</v>
      </c>
      <c r="E208" t="s">
        <v>2192</v>
      </c>
      <c r="F208" t="s">
        <v>1440</v>
      </c>
      <c r="G208" t="s">
        <v>2204</v>
      </c>
      <c r="H208" t="s">
        <v>2205</v>
      </c>
      <c r="I208" t="s">
        <v>1489</v>
      </c>
      <c r="J208" t="s">
        <v>704</v>
      </c>
      <c r="K208" t="s">
        <v>677</v>
      </c>
      <c r="L208" t="s">
        <v>2206</v>
      </c>
      <c r="M208" t="s">
        <v>1438</v>
      </c>
      <c r="N208">
        <v>23</v>
      </c>
      <c r="O208" t="s">
        <v>687</v>
      </c>
      <c r="Q208">
        <v>1000000</v>
      </c>
      <c r="S208">
        <v>708509238</v>
      </c>
      <c r="T208">
        <v>54</v>
      </c>
      <c r="U208" t="s">
        <v>1416</v>
      </c>
      <c r="V208" t="s">
        <v>1487</v>
      </c>
      <c r="W208" t="s">
        <v>1488</v>
      </c>
      <c r="X208" t="s">
        <v>1435</v>
      </c>
      <c r="Z208" s="1">
        <v>45315</v>
      </c>
      <c r="AA208">
        <v>1</v>
      </c>
      <c r="AB208" t="s">
        <v>672</v>
      </c>
      <c r="AG208">
        <v>0</v>
      </c>
      <c r="AL208">
        <v>0</v>
      </c>
      <c r="AM208" t="s">
        <v>672</v>
      </c>
      <c r="AN208" t="s">
        <v>672</v>
      </c>
      <c r="AO208" t="s">
        <v>672</v>
      </c>
      <c r="AP208">
        <v>0</v>
      </c>
      <c r="AQ208">
        <v>0</v>
      </c>
      <c r="AR208" t="s">
        <v>672</v>
      </c>
      <c r="AS208">
        <v>1</v>
      </c>
      <c r="AT208">
        <v>6</v>
      </c>
    </row>
    <row r="209" spans="1:46">
      <c r="A209" t="s">
        <v>60</v>
      </c>
      <c r="B209">
        <v>210</v>
      </c>
      <c r="C209" t="s">
        <v>61</v>
      </c>
      <c r="D209">
        <v>20</v>
      </c>
      <c r="E209" t="s">
        <v>2207</v>
      </c>
      <c r="F209" t="s">
        <v>882</v>
      </c>
      <c r="G209" t="s">
        <v>1494</v>
      </c>
      <c r="H209" t="s">
        <v>1495</v>
      </c>
      <c r="I209" t="s">
        <v>1493</v>
      </c>
      <c r="J209" t="s">
        <v>704</v>
      </c>
      <c r="K209" t="s">
        <v>677</v>
      </c>
      <c r="L209" t="s">
        <v>1496</v>
      </c>
      <c r="O209" t="s">
        <v>750</v>
      </c>
      <c r="Q209">
        <v>1000000</v>
      </c>
      <c r="S209">
        <v>707999183</v>
      </c>
      <c r="T209">
        <v>54</v>
      </c>
      <c r="U209" t="s">
        <v>1111</v>
      </c>
      <c r="V209" t="s">
        <v>1492</v>
      </c>
      <c r="X209" t="s">
        <v>1491</v>
      </c>
      <c r="Z209" s="1">
        <v>45316</v>
      </c>
      <c r="AA209">
        <v>1</v>
      </c>
      <c r="AB209" t="s">
        <v>672</v>
      </c>
      <c r="AG209">
        <v>0</v>
      </c>
      <c r="AL209">
        <v>0</v>
      </c>
      <c r="AM209" t="s">
        <v>672</v>
      </c>
      <c r="AN209" t="s">
        <v>672</v>
      </c>
      <c r="AO209" t="s">
        <v>672</v>
      </c>
      <c r="AP209">
        <v>0</v>
      </c>
      <c r="AQ209">
        <v>0</v>
      </c>
      <c r="AR209" t="s">
        <v>672</v>
      </c>
      <c r="AS209">
        <v>1</v>
      </c>
      <c r="AT209">
        <v>4</v>
      </c>
    </row>
    <row r="210" spans="1:46">
      <c r="A210" t="s">
        <v>42</v>
      </c>
      <c r="B210">
        <v>211</v>
      </c>
      <c r="C210" t="s">
        <v>43</v>
      </c>
      <c r="D210">
        <v>95</v>
      </c>
      <c r="E210" t="s">
        <v>2208</v>
      </c>
      <c r="F210" t="s">
        <v>882</v>
      </c>
      <c r="G210" t="s">
        <v>1500</v>
      </c>
      <c r="H210" t="s">
        <v>1501</v>
      </c>
      <c r="I210" t="s">
        <v>1499</v>
      </c>
      <c r="J210" t="s">
        <v>704</v>
      </c>
      <c r="K210" t="s">
        <v>677</v>
      </c>
      <c r="L210" t="s">
        <v>1502</v>
      </c>
      <c r="O210" t="s">
        <v>742</v>
      </c>
      <c r="Q210">
        <v>1000000</v>
      </c>
      <c r="S210">
        <v>757263143</v>
      </c>
      <c r="T210">
        <v>54</v>
      </c>
      <c r="U210" t="s">
        <v>1111</v>
      </c>
      <c r="V210" t="s">
        <v>1498</v>
      </c>
      <c r="X210" t="s">
        <v>1497</v>
      </c>
      <c r="Z210" s="1">
        <v>45316</v>
      </c>
      <c r="AA210">
        <v>1</v>
      </c>
      <c r="AB210" t="s">
        <v>672</v>
      </c>
      <c r="AG210">
        <v>0</v>
      </c>
      <c r="AL210">
        <v>0</v>
      </c>
      <c r="AM210" t="s">
        <v>672</v>
      </c>
      <c r="AN210" t="s">
        <v>672</v>
      </c>
      <c r="AO210" t="s">
        <v>672</v>
      </c>
      <c r="AP210">
        <v>0</v>
      </c>
      <c r="AQ210">
        <v>0</v>
      </c>
      <c r="AR210" t="s">
        <v>672</v>
      </c>
      <c r="AS210">
        <v>1</v>
      </c>
      <c r="AT210">
        <v>4</v>
      </c>
    </row>
    <row r="211" spans="1:46">
      <c r="A211" t="s">
        <v>1507</v>
      </c>
      <c r="B211">
        <v>212</v>
      </c>
      <c r="C211" t="s">
        <v>1503</v>
      </c>
      <c r="D211">
        <v>22</v>
      </c>
      <c r="E211" t="s">
        <v>2209</v>
      </c>
      <c r="F211" t="s">
        <v>882</v>
      </c>
      <c r="G211" t="s">
        <v>1508</v>
      </c>
      <c r="H211" t="s">
        <v>1509</v>
      </c>
      <c r="I211" t="s">
        <v>1506</v>
      </c>
      <c r="J211" t="s">
        <v>704</v>
      </c>
      <c r="K211" t="s">
        <v>677</v>
      </c>
      <c r="L211" t="s">
        <v>1510</v>
      </c>
      <c r="O211" t="s">
        <v>687</v>
      </c>
      <c r="Q211">
        <v>1000000</v>
      </c>
      <c r="S211">
        <v>708956505</v>
      </c>
      <c r="T211">
        <v>54</v>
      </c>
      <c r="U211" t="s">
        <v>1111</v>
      </c>
      <c r="V211" t="s">
        <v>1505</v>
      </c>
      <c r="X211" t="s">
        <v>1504</v>
      </c>
      <c r="Z211" s="1">
        <v>45316</v>
      </c>
      <c r="AA211">
        <v>1</v>
      </c>
      <c r="AB211" t="s">
        <v>672</v>
      </c>
      <c r="AG211">
        <v>0</v>
      </c>
      <c r="AL211">
        <v>0</v>
      </c>
      <c r="AM211" t="s">
        <v>672</v>
      </c>
      <c r="AN211" t="s">
        <v>672</v>
      </c>
      <c r="AO211" t="s">
        <v>672</v>
      </c>
      <c r="AP211">
        <v>0</v>
      </c>
      <c r="AQ211">
        <v>0</v>
      </c>
      <c r="AR211" t="s">
        <v>672</v>
      </c>
      <c r="AS211">
        <v>1</v>
      </c>
      <c r="AT211">
        <v>4</v>
      </c>
    </row>
    <row r="212" spans="1:46">
      <c r="A212" t="s">
        <v>36</v>
      </c>
      <c r="B212">
        <v>213</v>
      </c>
      <c r="C212" t="s">
        <v>37</v>
      </c>
      <c r="D212">
        <v>23</v>
      </c>
      <c r="E212" t="s">
        <v>2210</v>
      </c>
      <c r="F212" t="s">
        <v>882</v>
      </c>
      <c r="G212" t="s">
        <v>1513</v>
      </c>
      <c r="H212" t="s">
        <v>1514</v>
      </c>
      <c r="I212" t="s">
        <v>1512</v>
      </c>
      <c r="J212" t="s">
        <v>704</v>
      </c>
      <c r="K212" t="s">
        <v>677</v>
      </c>
      <c r="L212" t="s">
        <v>2211</v>
      </c>
      <c r="O212" t="s">
        <v>942</v>
      </c>
      <c r="Q212">
        <v>1000000</v>
      </c>
      <c r="S212">
        <v>768151168</v>
      </c>
      <c r="T212">
        <v>54</v>
      </c>
      <c r="U212" t="s">
        <v>959</v>
      </c>
      <c r="V212" t="s">
        <v>1511</v>
      </c>
      <c r="X212" t="s">
        <v>959</v>
      </c>
      <c r="Z212" s="1">
        <v>45316</v>
      </c>
      <c r="AA212">
        <v>1</v>
      </c>
      <c r="AB212" t="s">
        <v>672</v>
      </c>
      <c r="AG212">
        <v>0</v>
      </c>
      <c r="AL212">
        <v>0</v>
      </c>
      <c r="AM212" t="s">
        <v>672</v>
      </c>
      <c r="AN212" t="s">
        <v>672</v>
      </c>
      <c r="AO212" t="s">
        <v>672</v>
      </c>
      <c r="AP212">
        <v>0</v>
      </c>
      <c r="AQ212">
        <v>0</v>
      </c>
      <c r="AR212" t="s">
        <v>672</v>
      </c>
      <c r="AS212">
        <v>1</v>
      </c>
      <c r="AT212">
        <v>4</v>
      </c>
    </row>
    <row r="213" spans="1:46">
      <c r="A213" t="s">
        <v>1517</v>
      </c>
      <c r="B213">
        <v>214</v>
      </c>
      <c r="C213" t="s">
        <v>1515</v>
      </c>
      <c r="D213">
        <v>24</v>
      </c>
      <c r="G213" t="s">
        <v>1518</v>
      </c>
      <c r="H213" t="s">
        <v>1519</v>
      </c>
      <c r="I213" t="s">
        <v>1218</v>
      </c>
      <c r="J213" t="s">
        <v>704</v>
      </c>
      <c r="K213" t="s">
        <v>677</v>
      </c>
      <c r="L213" t="s">
        <v>1520</v>
      </c>
      <c r="O213" t="s">
        <v>705</v>
      </c>
      <c r="Q213">
        <v>1000000</v>
      </c>
      <c r="S213">
        <v>788881313</v>
      </c>
      <c r="T213">
        <v>54</v>
      </c>
      <c r="U213" t="s">
        <v>1111</v>
      </c>
      <c r="X213" t="s">
        <v>1516</v>
      </c>
      <c r="Z213" s="1">
        <v>45316</v>
      </c>
      <c r="AA213">
        <v>1</v>
      </c>
      <c r="AB213" t="s">
        <v>672</v>
      </c>
      <c r="AG213">
        <v>0</v>
      </c>
      <c r="AL213">
        <v>0</v>
      </c>
      <c r="AM213" t="s">
        <v>672</v>
      </c>
      <c r="AN213" t="s">
        <v>672</v>
      </c>
      <c r="AO213" t="s">
        <v>672</v>
      </c>
      <c r="AP213">
        <v>0</v>
      </c>
      <c r="AQ213">
        <v>0</v>
      </c>
      <c r="AR213" t="s">
        <v>672</v>
      </c>
      <c r="AS213">
        <v>1</v>
      </c>
      <c r="AT213">
        <v>4</v>
      </c>
    </row>
    <row r="214" spans="1:46">
      <c r="A214" t="s">
        <v>197</v>
      </c>
      <c r="B214">
        <v>215</v>
      </c>
      <c r="C214" t="s">
        <v>198</v>
      </c>
      <c r="D214">
        <v>25</v>
      </c>
      <c r="E214" t="s">
        <v>2212</v>
      </c>
      <c r="F214" t="s">
        <v>882</v>
      </c>
      <c r="G214" t="s">
        <v>1523</v>
      </c>
      <c r="H214" t="s">
        <v>1524</v>
      </c>
      <c r="I214" t="s">
        <v>1522</v>
      </c>
      <c r="J214" t="s">
        <v>704</v>
      </c>
      <c r="K214" t="s">
        <v>677</v>
      </c>
      <c r="L214" t="s">
        <v>1525</v>
      </c>
      <c r="M214" t="s">
        <v>681</v>
      </c>
      <c r="N214" t="s">
        <v>681</v>
      </c>
      <c r="O214" t="s">
        <v>1222</v>
      </c>
      <c r="P214" t="s">
        <v>681</v>
      </c>
      <c r="Q214">
        <v>1000000</v>
      </c>
      <c r="R214" t="s">
        <v>681</v>
      </c>
      <c r="S214">
        <v>758963212</v>
      </c>
      <c r="T214">
        <v>54</v>
      </c>
      <c r="U214" t="s">
        <v>1111</v>
      </c>
      <c r="W214" t="s">
        <v>681</v>
      </c>
      <c r="X214" t="s">
        <v>2213</v>
      </c>
      <c r="Y214" t="s">
        <v>681</v>
      </c>
      <c r="Z214" s="1">
        <v>45316</v>
      </c>
      <c r="AA214">
        <v>1</v>
      </c>
      <c r="AB214" t="s">
        <v>672</v>
      </c>
      <c r="AG214">
        <v>0</v>
      </c>
      <c r="AL214">
        <v>0</v>
      </c>
      <c r="AM214" t="s">
        <v>672</v>
      </c>
      <c r="AN214" t="s">
        <v>672</v>
      </c>
      <c r="AO214" t="s">
        <v>672</v>
      </c>
      <c r="AP214">
        <v>0</v>
      </c>
      <c r="AQ214">
        <v>0</v>
      </c>
      <c r="AR214" t="s">
        <v>672</v>
      </c>
      <c r="AS214">
        <v>1</v>
      </c>
      <c r="AT214">
        <v>4</v>
      </c>
    </row>
    <row r="215" spans="1:46">
      <c r="A215" t="s">
        <v>175</v>
      </c>
      <c r="B215">
        <v>216</v>
      </c>
      <c r="C215" t="s">
        <v>176</v>
      </c>
      <c r="D215">
        <v>26</v>
      </c>
      <c r="E215" t="s">
        <v>2214</v>
      </c>
      <c r="F215" t="s">
        <v>882</v>
      </c>
      <c r="G215" t="s">
        <v>1529</v>
      </c>
      <c r="H215" t="s">
        <v>1530</v>
      </c>
      <c r="I215" t="s">
        <v>1528</v>
      </c>
      <c r="J215" t="s">
        <v>704</v>
      </c>
      <c r="K215" t="s">
        <v>677</v>
      </c>
      <c r="L215" t="s">
        <v>1531</v>
      </c>
      <c r="O215" t="s">
        <v>1222</v>
      </c>
      <c r="Q215">
        <v>1000000</v>
      </c>
      <c r="S215">
        <v>779241124</v>
      </c>
      <c r="T215">
        <v>54</v>
      </c>
      <c r="U215" t="s">
        <v>1527</v>
      </c>
      <c r="V215" t="s">
        <v>1526</v>
      </c>
      <c r="X215" t="s">
        <v>2215</v>
      </c>
      <c r="Z215" s="1">
        <v>45316</v>
      </c>
      <c r="AA215">
        <v>1</v>
      </c>
      <c r="AB215" t="s">
        <v>672</v>
      </c>
      <c r="AG215">
        <v>0</v>
      </c>
      <c r="AL215">
        <v>0</v>
      </c>
      <c r="AM215" t="s">
        <v>672</v>
      </c>
      <c r="AN215" t="s">
        <v>672</v>
      </c>
      <c r="AO215" t="s">
        <v>672</v>
      </c>
      <c r="AP215">
        <v>0</v>
      </c>
      <c r="AQ215">
        <v>0</v>
      </c>
      <c r="AR215" t="s">
        <v>672</v>
      </c>
      <c r="AS215">
        <v>1</v>
      </c>
      <c r="AT215">
        <v>4</v>
      </c>
    </row>
    <row r="216" spans="1:46">
      <c r="A216" t="s">
        <v>1535</v>
      </c>
      <c r="B216">
        <v>217</v>
      </c>
      <c r="C216" t="s">
        <v>1532</v>
      </c>
      <c r="D216">
        <v>27</v>
      </c>
      <c r="E216" t="s">
        <v>2216</v>
      </c>
      <c r="F216" t="s">
        <v>882</v>
      </c>
      <c r="G216" t="s">
        <v>1536</v>
      </c>
      <c r="H216" t="s">
        <v>1537</v>
      </c>
      <c r="I216" t="s">
        <v>1534</v>
      </c>
      <c r="J216" t="s">
        <v>704</v>
      </c>
      <c r="K216" t="s">
        <v>677</v>
      </c>
      <c r="L216" t="s">
        <v>1538</v>
      </c>
      <c r="O216" t="s">
        <v>834</v>
      </c>
      <c r="Q216" s="2">
        <v>1000000</v>
      </c>
      <c r="S216">
        <v>747629161</v>
      </c>
      <c r="T216">
        <v>54</v>
      </c>
      <c r="U216" t="s">
        <v>1111</v>
      </c>
      <c r="X216" t="s">
        <v>1533</v>
      </c>
      <c r="Z216" s="1">
        <v>45316</v>
      </c>
      <c r="AA216">
        <v>1</v>
      </c>
      <c r="AB216" t="s">
        <v>672</v>
      </c>
      <c r="AG216">
        <v>0</v>
      </c>
      <c r="AL216">
        <v>0</v>
      </c>
      <c r="AM216" t="s">
        <v>672</v>
      </c>
      <c r="AN216" t="s">
        <v>672</v>
      </c>
      <c r="AO216" t="s">
        <v>672</v>
      </c>
      <c r="AP216">
        <v>0</v>
      </c>
      <c r="AQ216">
        <v>0</v>
      </c>
      <c r="AR216" t="s">
        <v>672</v>
      </c>
      <c r="AS216">
        <v>1</v>
      </c>
      <c r="AT216">
        <v>4</v>
      </c>
    </row>
    <row r="217" spans="1:46">
      <c r="A217" t="s">
        <v>213</v>
      </c>
      <c r="B217">
        <v>218</v>
      </c>
      <c r="C217" t="s">
        <v>1539</v>
      </c>
      <c r="D217">
        <v>28</v>
      </c>
      <c r="E217" t="s">
        <v>2217</v>
      </c>
      <c r="F217" t="s">
        <v>882</v>
      </c>
      <c r="G217" t="s">
        <v>1542</v>
      </c>
      <c r="H217" t="s">
        <v>1543</v>
      </c>
      <c r="I217" t="s">
        <v>1541</v>
      </c>
      <c r="J217" t="s">
        <v>704</v>
      </c>
      <c r="K217" t="s">
        <v>677</v>
      </c>
      <c r="L217" t="s">
        <v>1544</v>
      </c>
      <c r="M217" t="s">
        <v>681</v>
      </c>
      <c r="N217" t="s">
        <v>681</v>
      </c>
      <c r="O217" t="s">
        <v>834</v>
      </c>
      <c r="P217" t="s">
        <v>681</v>
      </c>
      <c r="Q217">
        <v>1000000</v>
      </c>
      <c r="R217" t="s">
        <v>1381</v>
      </c>
      <c r="S217">
        <v>596125351</v>
      </c>
      <c r="T217">
        <v>54</v>
      </c>
      <c r="U217" t="s">
        <v>1111</v>
      </c>
      <c r="W217" t="s">
        <v>681</v>
      </c>
      <c r="X217" t="s">
        <v>1540</v>
      </c>
      <c r="Y217" t="s">
        <v>681</v>
      </c>
      <c r="Z217" s="1">
        <v>45316</v>
      </c>
      <c r="AA217">
        <v>1</v>
      </c>
      <c r="AB217" t="s">
        <v>672</v>
      </c>
      <c r="AG217">
        <v>0</v>
      </c>
      <c r="AL217">
        <v>0</v>
      </c>
      <c r="AM217" t="s">
        <v>672</v>
      </c>
      <c r="AN217" t="s">
        <v>672</v>
      </c>
      <c r="AO217" t="s">
        <v>672</v>
      </c>
      <c r="AP217">
        <v>0</v>
      </c>
      <c r="AQ217">
        <v>0</v>
      </c>
      <c r="AR217" t="s">
        <v>672</v>
      </c>
      <c r="AS217">
        <v>1</v>
      </c>
      <c r="AT217">
        <v>4</v>
      </c>
    </row>
    <row r="218" spans="1:46">
      <c r="A218" t="s">
        <v>279</v>
      </c>
      <c r="B218">
        <v>219</v>
      </c>
      <c r="C218" t="s">
        <v>280</v>
      </c>
      <c r="D218">
        <v>95</v>
      </c>
      <c r="E218" t="s">
        <v>2218</v>
      </c>
      <c r="F218" t="s">
        <v>1361</v>
      </c>
      <c r="G218" t="s">
        <v>1548</v>
      </c>
      <c r="H218" t="s">
        <v>1549</v>
      </c>
      <c r="I218" t="s">
        <v>1547</v>
      </c>
      <c r="J218" t="s">
        <v>704</v>
      </c>
      <c r="K218" t="s">
        <v>677</v>
      </c>
      <c r="L218" t="s">
        <v>1550</v>
      </c>
      <c r="O218" t="s">
        <v>692</v>
      </c>
      <c r="P218" t="s">
        <v>1551</v>
      </c>
      <c r="Q218">
        <v>10000000</v>
      </c>
      <c r="S218">
        <v>748480154</v>
      </c>
      <c r="T218">
        <v>54</v>
      </c>
      <c r="U218" t="s">
        <v>1111</v>
      </c>
      <c r="V218" t="s">
        <v>1546</v>
      </c>
      <c r="X218" t="s">
        <v>1545</v>
      </c>
      <c r="Z218" s="1">
        <v>45316</v>
      </c>
      <c r="AA218">
        <v>1</v>
      </c>
      <c r="AB218" t="s">
        <v>672</v>
      </c>
      <c r="AG218">
        <v>0</v>
      </c>
      <c r="AL218">
        <v>0</v>
      </c>
      <c r="AM218" t="s">
        <v>672</v>
      </c>
      <c r="AN218" t="s">
        <v>672</v>
      </c>
      <c r="AO218" t="s">
        <v>672</v>
      </c>
      <c r="AP218">
        <v>0</v>
      </c>
      <c r="AQ218">
        <v>0</v>
      </c>
      <c r="AR218" t="s">
        <v>672</v>
      </c>
      <c r="AS218">
        <v>1</v>
      </c>
      <c r="AT218">
        <v>4</v>
      </c>
    </row>
    <row r="219" spans="1:46">
      <c r="A219" t="s">
        <v>277</v>
      </c>
      <c r="B219">
        <v>220</v>
      </c>
      <c r="C219" t="s">
        <v>278</v>
      </c>
      <c r="D219">
        <v>30</v>
      </c>
      <c r="E219" t="s">
        <v>278</v>
      </c>
      <c r="F219" t="s">
        <v>724</v>
      </c>
      <c r="G219" t="s">
        <v>1553</v>
      </c>
      <c r="H219" t="s">
        <v>1554</v>
      </c>
      <c r="I219" t="s">
        <v>1552</v>
      </c>
      <c r="J219" t="s">
        <v>676</v>
      </c>
      <c r="K219" t="s">
        <v>677</v>
      </c>
      <c r="L219" t="s">
        <v>1496</v>
      </c>
      <c r="O219" t="s">
        <v>750</v>
      </c>
      <c r="S219">
        <v>788881313</v>
      </c>
      <c r="T219">
        <v>54</v>
      </c>
      <c r="U219" t="s">
        <v>1111</v>
      </c>
      <c r="X219" t="s">
        <v>872</v>
      </c>
      <c r="Z219" s="1">
        <v>45316</v>
      </c>
      <c r="AA219">
        <v>1</v>
      </c>
      <c r="AB219" t="s">
        <v>672</v>
      </c>
      <c r="AG219">
        <v>0</v>
      </c>
      <c r="AL219">
        <v>0</v>
      </c>
      <c r="AM219" t="s">
        <v>672</v>
      </c>
      <c r="AN219" t="s">
        <v>672</v>
      </c>
      <c r="AO219" t="s">
        <v>672</v>
      </c>
      <c r="AP219">
        <v>0</v>
      </c>
      <c r="AQ219">
        <v>0</v>
      </c>
      <c r="AR219" t="s">
        <v>672</v>
      </c>
      <c r="AS219">
        <v>1</v>
      </c>
      <c r="AT219">
        <v>4</v>
      </c>
    </row>
    <row r="220" spans="1:46">
      <c r="A220" t="s">
        <v>1558</v>
      </c>
      <c r="B220">
        <v>221</v>
      </c>
      <c r="C220" t="s">
        <v>1555</v>
      </c>
      <c r="D220">
        <v>95</v>
      </c>
      <c r="G220" t="s">
        <v>1559</v>
      </c>
      <c r="H220" t="s">
        <v>1560</v>
      </c>
      <c r="I220" t="s">
        <v>1557</v>
      </c>
      <c r="J220" t="s">
        <v>704</v>
      </c>
      <c r="K220" t="s">
        <v>677</v>
      </c>
      <c r="L220" t="s">
        <v>1561</v>
      </c>
      <c r="O220" t="s">
        <v>692</v>
      </c>
      <c r="Q220">
        <v>1000000</v>
      </c>
      <c r="S220">
        <v>788881313</v>
      </c>
      <c r="T220">
        <v>54</v>
      </c>
      <c r="U220" t="s">
        <v>1111</v>
      </c>
      <c r="X220" t="s">
        <v>1556</v>
      </c>
      <c r="Z220" s="1">
        <v>45316</v>
      </c>
      <c r="AA220">
        <v>1</v>
      </c>
      <c r="AB220" t="s">
        <v>672</v>
      </c>
      <c r="AG220">
        <v>0</v>
      </c>
      <c r="AL220">
        <v>0</v>
      </c>
      <c r="AM220" t="s">
        <v>672</v>
      </c>
      <c r="AN220" t="s">
        <v>672</v>
      </c>
      <c r="AO220" t="s">
        <v>672</v>
      </c>
      <c r="AP220">
        <v>0</v>
      </c>
      <c r="AQ220">
        <v>0</v>
      </c>
      <c r="AR220" t="s">
        <v>672</v>
      </c>
      <c r="AS220">
        <v>1</v>
      </c>
      <c r="AT220">
        <v>4</v>
      </c>
    </row>
    <row r="221" spans="1:46">
      <c r="A221" t="s">
        <v>235</v>
      </c>
      <c r="B221">
        <v>222</v>
      </c>
      <c r="C221" t="s">
        <v>236</v>
      </c>
      <c r="D221">
        <v>95</v>
      </c>
      <c r="E221" t="s">
        <v>2219</v>
      </c>
      <c r="F221" t="s">
        <v>1361</v>
      </c>
      <c r="G221" t="s">
        <v>1564</v>
      </c>
      <c r="H221" t="s">
        <v>1565</v>
      </c>
      <c r="I221" t="s">
        <v>1563</v>
      </c>
      <c r="J221" t="s">
        <v>704</v>
      </c>
      <c r="K221" t="s">
        <v>677</v>
      </c>
      <c r="L221" t="s">
        <v>1566</v>
      </c>
      <c r="O221" t="s">
        <v>692</v>
      </c>
      <c r="Q221">
        <v>1000000</v>
      </c>
      <c r="S221">
        <v>707428750</v>
      </c>
      <c r="T221">
        <v>54</v>
      </c>
      <c r="U221" t="s">
        <v>1111</v>
      </c>
      <c r="X221" t="s">
        <v>1562</v>
      </c>
      <c r="Z221" s="1">
        <v>45316</v>
      </c>
      <c r="AA221">
        <v>1</v>
      </c>
      <c r="AB221" t="s">
        <v>672</v>
      </c>
      <c r="AG221">
        <v>0</v>
      </c>
      <c r="AL221">
        <v>0</v>
      </c>
      <c r="AM221" t="s">
        <v>672</v>
      </c>
      <c r="AN221" t="s">
        <v>672</v>
      </c>
      <c r="AO221" t="s">
        <v>672</v>
      </c>
      <c r="AP221">
        <v>0</v>
      </c>
      <c r="AQ221">
        <v>0</v>
      </c>
      <c r="AR221" t="s">
        <v>672</v>
      </c>
      <c r="AS221">
        <v>1</v>
      </c>
      <c r="AT221">
        <v>4</v>
      </c>
    </row>
    <row r="222" spans="1:46">
      <c r="A222" t="s">
        <v>344</v>
      </c>
      <c r="B222">
        <v>223</v>
      </c>
      <c r="C222" t="s">
        <v>1567</v>
      </c>
      <c r="D222">
        <v>33</v>
      </c>
      <c r="E222" t="s">
        <v>2220</v>
      </c>
      <c r="F222" t="s">
        <v>882</v>
      </c>
      <c r="G222" t="s">
        <v>1571</v>
      </c>
      <c r="H222" t="s">
        <v>1572</v>
      </c>
      <c r="I222" t="s">
        <v>1570</v>
      </c>
      <c r="J222" t="s">
        <v>704</v>
      </c>
      <c r="K222" t="s">
        <v>677</v>
      </c>
      <c r="L222" t="s">
        <v>1573</v>
      </c>
      <c r="M222" t="s">
        <v>681</v>
      </c>
      <c r="N222" t="s">
        <v>681</v>
      </c>
      <c r="O222" t="s">
        <v>942</v>
      </c>
      <c r="P222" t="s">
        <v>681</v>
      </c>
      <c r="Q222" s="2">
        <v>1000000</v>
      </c>
      <c r="R222" t="s">
        <v>681</v>
      </c>
      <c r="S222">
        <v>788881313</v>
      </c>
      <c r="T222">
        <v>54</v>
      </c>
      <c r="U222" t="s">
        <v>959</v>
      </c>
      <c r="V222" t="s">
        <v>1569</v>
      </c>
      <c r="W222" t="s">
        <v>681</v>
      </c>
      <c r="X222" t="s">
        <v>1568</v>
      </c>
      <c r="Y222" t="s">
        <v>681</v>
      </c>
      <c r="Z222" s="1">
        <v>45316</v>
      </c>
      <c r="AA222">
        <v>1</v>
      </c>
      <c r="AB222" t="s">
        <v>672</v>
      </c>
      <c r="AG222">
        <v>0</v>
      </c>
      <c r="AL222">
        <v>0</v>
      </c>
      <c r="AM222" t="s">
        <v>672</v>
      </c>
      <c r="AN222" t="s">
        <v>672</v>
      </c>
      <c r="AO222" t="s">
        <v>672</v>
      </c>
      <c r="AP222">
        <v>0</v>
      </c>
      <c r="AQ222">
        <v>0</v>
      </c>
      <c r="AR222" t="s">
        <v>672</v>
      </c>
      <c r="AS222">
        <v>1</v>
      </c>
      <c r="AT222">
        <v>4</v>
      </c>
    </row>
    <row r="223" spans="1:46">
      <c r="A223" t="s">
        <v>380</v>
      </c>
      <c r="B223">
        <v>224</v>
      </c>
      <c r="C223" t="s">
        <v>381</v>
      </c>
      <c r="D223">
        <v>34</v>
      </c>
      <c r="E223" t="s">
        <v>2221</v>
      </c>
      <c r="F223" t="s">
        <v>1361</v>
      </c>
      <c r="G223" t="s">
        <v>1576</v>
      </c>
      <c r="H223" t="s">
        <v>1577</v>
      </c>
      <c r="I223" t="s">
        <v>1575</v>
      </c>
      <c r="J223" t="s">
        <v>704</v>
      </c>
      <c r="K223" t="s">
        <v>677</v>
      </c>
      <c r="L223" t="s">
        <v>1578</v>
      </c>
      <c r="M223" t="s">
        <v>681</v>
      </c>
      <c r="N223" t="s">
        <v>681</v>
      </c>
      <c r="O223" t="s">
        <v>746</v>
      </c>
      <c r="P223" t="s">
        <v>681</v>
      </c>
      <c r="Q223">
        <v>1000000</v>
      </c>
      <c r="S223">
        <v>788881313</v>
      </c>
      <c r="T223">
        <v>54</v>
      </c>
      <c r="U223" t="s">
        <v>1111</v>
      </c>
      <c r="X223" t="s">
        <v>1574</v>
      </c>
      <c r="Z223" s="1">
        <v>45316</v>
      </c>
      <c r="AA223">
        <v>1</v>
      </c>
      <c r="AB223" t="s">
        <v>672</v>
      </c>
      <c r="AG223">
        <v>0</v>
      </c>
      <c r="AL223">
        <v>0</v>
      </c>
      <c r="AM223" t="s">
        <v>672</v>
      </c>
      <c r="AN223" t="s">
        <v>672</v>
      </c>
      <c r="AO223" t="s">
        <v>672</v>
      </c>
      <c r="AP223">
        <v>0</v>
      </c>
      <c r="AQ223">
        <v>0</v>
      </c>
      <c r="AR223" t="s">
        <v>672</v>
      </c>
      <c r="AS223">
        <v>1</v>
      </c>
      <c r="AT223">
        <v>4</v>
      </c>
    </row>
    <row r="224" spans="1:46">
      <c r="A224" t="s">
        <v>602</v>
      </c>
      <c r="B224">
        <v>226</v>
      </c>
      <c r="C224" t="s">
        <v>603</v>
      </c>
      <c r="D224" t="s">
        <v>672</v>
      </c>
      <c r="E224" t="s">
        <v>2222</v>
      </c>
      <c r="F224" t="s">
        <v>2127</v>
      </c>
      <c r="G224" t="s">
        <v>1582</v>
      </c>
      <c r="H224" t="s">
        <v>1583</v>
      </c>
      <c r="I224" t="s">
        <v>1581</v>
      </c>
      <c r="J224" t="s">
        <v>704</v>
      </c>
      <c r="K224" t="s">
        <v>677</v>
      </c>
      <c r="L224" t="s">
        <v>1584</v>
      </c>
      <c r="M224" t="s">
        <v>681</v>
      </c>
      <c r="N224" t="s">
        <v>681</v>
      </c>
      <c r="O224" t="s">
        <v>750</v>
      </c>
      <c r="P224" t="s">
        <v>1585</v>
      </c>
      <c r="Q224">
        <v>1000000</v>
      </c>
      <c r="R224" t="s">
        <v>681</v>
      </c>
      <c r="S224">
        <v>707719065</v>
      </c>
      <c r="T224">
        <v>54</v>
      </c>
      <c r="U224" t="s">
        <v>1111</v>
      </c>
      <c r="V224" t="s">
        <v>1580</v>
      </c>
      <c r="W224" t="s">
        <v>681</v>
      </c>
      <c r="X224" t="s">
        <v>1579</v>
      </c>
      <c r="Y224" t="s">
        <v>681</v>
      </c>
      <c r="Z224" s="1">
        <v>44942</v>
      </c>
      <c r="AA224">
        <v>1</v>
      </c>
      <c r="AB224" t="s">
        <v>672</v>
      </c>
      <c r="AG224">
        <v>0</v>
      </c>
      <c r="AL224">
        <v>0</v>
      </c>
      <c r="AM224" t="s">
        <v>672</v>
      </c>
      <c r="AN224" t="s">
        <v>672</v>
      </c>
      <c r="AO224" t="s">
        <v>672</v>
      </c>
      <c r="AP224">
        <v>0</v>
      </c>
      <c r="AQ224">
        <v>0</v>
      </c>
      <c r="AR224" t="s">
        <v>672</v>
      </c>
      <c r="AS224">
        <v>1</v>
      </c>
      <c r="AT224">
        <v>2</v>
      </c>
    </row>
    <row r="225" spans="1:46">
      <c r="A225" t="s">
        <v>1589</v>
      </c>
      <c r="B225">
        <v>227</v>
      </c>
      <c r="C225" t="s">
        <v>1586</v>
      </c>
      <c r="D225">
        <v>36</v>
      </c>
      <c r="E225" t="s">
        <v>2223</v>
      </c>
      <c r="F225" t="s">
        <v>2224</v>
      </c>
      <c r="G225" t="s">
        <v>1590</v>
      </c>
      <c r="H225" t="s">
        <v>1591</v>
      </c>
      <c r="I225" t="s">
        <v>1588</v>
      </c>
      <c r="J225" t="s">
        <v>676</v>
      </c>
      <c r="K225" t="s">
        <v>677</v>
      </c>
      <c r="L225" t="s">
        <v>1592</v>
      </c>
      <c r="O225" t="s">
        <v>942</v>
      </c>
      <c r="P225" t="s">
        <v>1593</v>
      </c>
      <c r="Q225" t="s">
        <v>681</v>
      </c>
      <c r="S225" t="s">
        <v>2225</v>
      </c>
      <c r="T225">
        <v>54</v>
      </c>
      <c r="U225" t="s">
        <v>942</v>
      </c>
      <c r="W225" t="s">
        <v>1587</v>
      </c>
      <c r="X225" t="s">
        <v>2226</v>
      </c>
      <c r="Z225" s="1">
        <v>45316</v>
      </c>
      <c r="AA225">
        <v>1</v>
      </c>
      <c r="AB225" t="s">
        <v>672</v>
      </c>
      <c r="AG225">
        <v>0</v>
      </c>
      <c r="AL225">
        <v>0</v>
      </c>
      <c r="AM225" t="s">
        <v>672</v>
      </c>
      <c r="AN225" t="s">
        <v>672</v>
      </c>
      <c r="AO225" t="s">
        <v>672</v>
      </c>
      <c r="AP225">
        <v>0</v>
      </c>
      <c r="AQ225">
        <v>0</v>
      </c>
      <c r="AR225" t="s">
        <v>672</v>
      </c>
      <c r="AS225">
        <v>1</v>
      </c>
      <c r="AT225">
        <v>3</v>
      </c>
    </row>
    <row r="226" spans="1:46">
      <c r="A226" t="s">
        <v>364</v>
      </c>
      <c r="B226">
        <v>230</v>
      </c>
      <c r="C226" t="s">
        <v>1594</v>
      </c>
      <c r="D226">
        <v>37</v>
      </c>
      <c r="E226" t="s">
        <v>1822</v>
      </c>
      <c r="G226" t="s">
        <v>1597</v>
      </c>
      <c r="H226" t="s">
        <v>1598</v>
      </c>
      <c r="I226" t="s">
        <v>1353</v>
      </c>
      <c r="J226" t="s">
        <v>704</v>
      </c>
      <c r="K226" t="s">
        <v>677</v>
      </c>
      <c r="L226" t="s">
        <v>1599</v>
      </c>
      <c r="O226" t="s">
        <v>942</v>
      </c>
      <c r="P226" t="s">
        <v>1600</v>
      </c>
      <c r="Q226">
        <v>2000000</v>
      </c>
      <c r="S226">
        <v>707812605</v>
      </c>
      <c r="T226">
        <v>54</v>
      </c>
      <c r="U226" t="s">
        <v>1111</v>
      </c>
      <c r="V226" t="s">
        <v>1596</v>
      </c>
      <c r="X226" t="s">
        <v>1595</v>
      </c>
      <c r="Z226" s="1">
        <v>45317</v>
      </c>
      <c r="AA226">
        <v>1</v>
      </c>
      <c r="AB226" t="s">
        <v>672</v>
      </c>
      <c r="AC226" t="s">
        <v>672</v>
      </c>
      <c r="AG226">
        <v>0</v>
      </c>
      <c r="AL226">
        <v>0</v>
      </c>
      <c r="AM226" t="s">
        <v>672</v>
      </c>
      <c r="AN226" t="s">
        <v>672</v>
      </c>
      <c r="AO226" t="s">
        <v>672</v>
      </c>
      <c r="AP226">
        <v>0</v>
      </c>
      <c r="AQ226">
        <v>0</v>
      </c>
      <c r="AR226" t="s">
        <v>672</v>
      </c>
      <c r="AS226">
        <v>1</v>
      </c>
      <c r="AT226">
        <v>4</v>
      </c>
    </row>
    <row r="227" spans="1:46">
      <c r="A227" t="s">
        <v>612</v>
      </c>
      <c r="B227">
        <v>231</v>
      </c>
      <c r="C227" t="s">
        <v>613</v>
      </c>
      <c r="D227">
        <v>38</v>
      </c>
      <c r="E227" t="s">
        <v>2227</v>
      </c>
      <c r="F227" t="s">
        <v>2127</v>
      </c>
      <c r="G227" t="s">
        <v>1604</v>
      </c>
      <c r="H227" t="s">
        <v>1605</v>
      </c>
      <c r="I227" t="s">
        <v>1603</v>
      </c>
      <c r="J227" t="s">
        <v>704</v>
      </c>
      <c r="K227" t="s">
        <v>712</v>
      </c>
      <c r="L227" t="s">
        <v>1606</v>
      </c>
      <c r="M227" t="s">
        <v>681</v>
      </c>
      <c r="N227" t="s">
        <v>681</v>
      </c>
      <c r="O227" t="s">
        <v>1222</v>
      </c>
      <c r="P227" t="s">
        <v>681</v>
      </c>
      <c r="Q227">
        <v>50000001</v>
      </c>
      <c r="S227">
        <v>788881313</v>
      </c>
      <c r="T227">
        <v>54</v>
      </c>
      <c r="U227" t="s">
        <v>1111</v>
      </c>
      <c r="V227" t="s">
        <v>1602</v>
      </c>
      <c r="X227" t="s">
        <v>1601</v>
      </c>
      <c r="Z227" s="1">
        <v>45317</v>
      </c>
      <c r="AA227">
        <v>1</v>
      </c>
      <c r="AB227" t="s">
        <v>672</v>
      </c>
      <c r="AC227" t="s">
        <v>672</v>
      </c>
      <c r="AG227">
        <v>0</v>
      </c>
      <c r="AL227">
        <v>0</v>
      </c>
      <c r="AM227" t="s">
        <v>672</v>
      </c>
      <c r="AN227" t="s">
        <v>672</v>
      </c>
      <c r="AO227" t="s">
        <v>672</v>
      </c>
      <c r="AP227">
        <v>0</v>
      </c>
      <c r="AQ227">
        <v>0</v>
      </c>
      <c r="AR227" t="s">
        <v>672</v>
      </c>
      <c r="AS227">
        <v>1</v>
      </c>
      <c r="AT227">
        <v>6</v>
      </c>
    </row>
    <row r="228" spans="1:46">
      <c r="A228" t="s">
        <v>406</v>
      </c>
      <c r="B228">
        <v>232</v>
      </c>
      <c r="C228" t="s">
        <v>407</v>
      </c>
      <c r="D228">
        <v>39</v>
      </c>
      <c r="E228" t="s">
        <v>2228</v>
      </c>
      <c r="F228" t="s">
        <v>882</v>
      </c>
      <c r="G228" t="s">
        <v>1610</v>
      </c>
      <c r="H228" t="s">
        <v>1611</v>
      </c>
      <c r="I228" t="s">
        <v>1609</v>
      </c>
      <c r="J228" t="s">
        <v>704</v>
      </c>
      <c r="K228" t="s">
        <v>677</v>
      </c>
      <c r="L228" t="s">
        <v>1612</v>
      </c>
      <c r="M228" t="s">
        <v>681</v>
      </c>
      <c r="N228" t="s">
        <v>681</v>
      </c>
      <c r="O228" t="s">
        <v>746</v>
      </c>
      <c r="P228" t="s">
        <v>681</v>
      </c>
      <c r="Q228" s="2">
        <v>5000001</v>
      </c>
      <c r="S228">
        <v>160693016</v>
      </c>
      <c r="T228">
        <v>54</v>
      </c>
      <c r="U228" t="s">
        <v>1111</v>
      </c>
      <c r="V228" t="s">
        <v>1608</v>
      </c>
      <c r="X228" t="s">
        <v>1607</v>
      </c>
      <c r="Z228" s="1">
        <v>45317</v>
      </c>
      <c r="AA228">
        <v>1</v>
      </c>
      <c r="AB228" t="s">
        <v>672</v>
      </c>
      <c r="AC228" t="s">
        <v>672</v>
      </c>
      <c r="AG228">
        <v>0</v>
      </c>
      <c r="AL228">
        <v>0</v>
      </c>
      <c r="AM228" t="s">
        <v>672</v>
      </c>
      <c r="AN228" t="s">
        <v>672</v>
      </c>
      <c r="AO228" t="s">
        <v>672</v>
      </c>
      <c r="AP228">
        <v>0</v>
      </c>
      <c r="AQ228">
        <v>0</v>
      </c>
      <c r="AR228" t="s">
        <v>672</v>
      </c>
      <c r="AS228">
        <v>1</v>
      </c>
      <c r="AT228">
        <v>6</v>
      </c>
    </row>
    <row r="229" spans="1:46">
      <c r="A229" t="s">
        <v>470</v>
      </c>
      <c r="B229">
        <v>233</v>
      </c>
      <c r="C229" t="s">
        <v>471</v>
      </c>
      <c r="D229">
        <v>40</v>
      </c>
      <c r="E229" t="s">
        <v>471</v>
      </c>
      <c r="F229" t="s">
        <v>2121</v>
      </c>
      <c r="G229" t="s">
        <v>1615</v>
      </c>
      <c r="H229" t="s">
        <v>1616</v>
      </c>
      <c r="I229" t="s">
        <v>1614</v>
      </c>
      <c r="J229" t="s">
        <v>676</v>
      </c>
      <c r="K229" t="s">
        <v>677</v>
      </c>
      <c r="L229" t="s">
        <v>1617</v>
      </c>
      <c r="M229" t="s">
        <v>681</v>
      </c>
      <c r="N229" t="s">
        <v>681</v>
      </c>
      <c r="O229" t="s">
        <v>750</v>
      </c>
      <c r="P229" t="s">
        <v>681</v>
      </c>
      <c r="R229" t="s">
        <v>681</v>
      </c>
      <c r="S229">
        <v>708530425</v>
      </c>
      <c r="T229">
        <v>54</v>
      </c>
      <c r="U229" t="s">
        <v>1111</v>
      </c>
      <c r="V229" t="s">
        <v>1613</v>
      </c>
      <c r="W229" t="s">
        <v>681</v>
      </c>
      <c r="X229" t="s">
        <v>872</v>
      </c>
      <c r="Y229" t="s">
        <v>681</v>
      </c>
      <c r="Z229" s="1">
        <v>45317</v>
      </c>
      <c r="AA229">
        <v>1</v>
      </c>
      <c r="AB229" t="s">
        <v>672</v>
      </c>
      <c r="AC229" t="s">
        <v>672</v>
      </c>
      <c r="AG229">
        <v>0</v>
      </c>
      <c r="AL229">
        <v>0</v>
      </c>
      <c r="AM229" t="s">
        <v>672</v>
      </c>
      <c r="AN229" t="s">
        <v>672</v>
      </c>
      <c r="AO229" t="s">
        <v>672</v>
      </c>
      <c r="AP229">
        <v>0</v>
      </c>
      <c r="AQ229">
        <v>0</v>
      </c>
      <c r="AR229" t="s">
        <v>672</v>
      </c>
      <c r="AS229">
        <v>1</v>
      </c>
      <c r="AT229">
        <v>6</v>
      </c>
    </row>
    <row r="230" spans="1:46">
      <c r="A230" t="s">
        <v>1621</v>
      </c>
      <c r="B230">
        <v>234</v>
      </c>
      <c r="C230" t="s">
        <v>1618</v>
      </c>
      <c r="D230">
        <v>41</v>
      </c>
      <c r="E230" t="s">
        <v>2229</v>
      </c>
      <c r="G230" t="s">
        <v>1622</v>
      </c>
      <c r="H230" t="s">
        <v>1623</v>
      </c>
      <c r="I230" t="s">
        <v>1620</v>
      </c>
      <c r="J230" t="s">
        <v>704</v>
      </c>
      <c r="K230" t="s">
        <v>677</v>
      </c>
      <c r="L230" t="s">
        <v>1624</v>
      </c>
      <c r="S230">
        <v>788881313</v>
      </c>
      <c r="T230">
        <v>54</v>
      </c>
      <c r="U230" t="s">
        <v>1111</v>
      </c>
      <c r="X230" t="s">
        <v>1619</v>
      </c>
      <c r="Z230" s="1">
        <v>45317</v>
      </c>
      <c r="AA230">
        <v>1</v>
      </c>
      <c r="AB230" t="s">
        <v>672</v>
      </c>
      <c r="AC230" t="s">
        <v>672</v>
      </c>
      <c r="AG230">
        <v>0</v>
      </c>
      <c r="AL230">
        <v>0</v>
      </c>
      <c r="AM230" t="s">
        <v>672</v>
      </c>
      <c r="AN230" t="s">
        <v>672</v>
      </c>
      <c r="AO230" t="s">
        <v>672</v>
      </c>
      <c r="AP230">
        <v>0</v>
      </c>
      <c r="AQ230">
        <v>0</v>
      </c>
      <c r="AR230" t="s">
        <v>672</v>
      </c>
      <c r="AS230">
        <v>1</v>
      </c>
      <c r="AT230">
        <v>6</v>
      </c>
    </row>
    <row r="231" spans="1:46">
      <c r="A231" t="s">
        <v>229</v>
      </c>
      <c r="B231">
        <v>235</v>
      </c>
      <c r="C231" t="s">
        <v>230</v>
      </c>
      <c r="D231">
        <v>42</v>
      </c>
      <c r="E231" t="s">
        <v>2230</v>
      </c>
      <c r="F231" t="s">
        <v>882</v>
      </c>
      <c r="G231" t="s">
        <v>1629</v>
      </c>
      <c r="H231" t="s">
        <v>1630</v>
      </c>
      <c r="I231" t="s">
        <v>1627</v>
      </c>
      <c r="J231" t="s">
        <v>704</v>
      </c>
      <c r="K231" t="s">
        <v>677</v>
      </c>
      <c r="L231" t="s">
        <v>1631</v>
      </c>
      <c r="O231" t="s">
        <v>742</v>
      </c>
      <c r="Q231">
        <v>5000001</v>
      </c>
      <c r="R231" t="s">
        <v>1628</v>
      </c>
      <c r="S231">
        <v>709515587</v>
      </c>
      <c r="T231">
        <v>54</v>
      </c>
      <c r="U231" t="s">
        <v>1111</v>
      </c>
      <c r="V231" t="s">
        <v>1626</v>
      </c>
      <c r="X231" t="s">
        <v>1625</v>
      </c>
      <c r="Z231" s="1">
        <v>45317</v>
      </c>
      <c r="AA231">
        <v>1</v>
      </c>
      <c r="AB231" t="s">
        <v>672</v>
      </c>
      <c r="AC231" t="s">
        <v>672</v>
      </c>
      <c r="AG231">
        <v>0</v>
      </c>
      <c r="AL231">
        <v>0</v>
      </c>
      <c r="AM231" t="s">
        <v>672</v>
      </c>
      <c r="AN231" t="s">
        <v>672</v>
      </c>
      <c r="AO231" t="s">
        <v>672</v>
      </c>
      <c r="AP231">
        <v>0</v>
      </c>
      <c r="AQ231">
        <v>0</v>
      </c>
      <c r="AR231" t="s">
        <v>672</v>
      </c>
      <c r="AS231">
        <v>1</v>
      </c>
      <c r="AT231">
        <v>6</v>
      </c>
    </row>
    <row r="232" spans="1:46">
      <c r="A232" t="s">
        <v>1636</v>
      </c>
      <c r="B232">
        <v>236</v>
      </c>
      <c r="C232" t="s">
        <v>313</v>
      </c>
      <c r="D232">
        <v>43</v>
      </c>
      <c r="E232" t="s">
        <v>2231</v>
      </c>
      <c r="F232" t="s">
        <v>882</v>
      </c>
      <c r="G232" t="s">
        <v>2232</v>
      </c>
      <c r="H232" t="s">
        <v>2233</v>
      </c>
      <c r="I232" t="s">
        <v>1635</v>
      </c>
      <c r="J232" t="s">
        <v>704</v>
      </c>
      <c r="K232" t="s">
        <v>677</v>
      </c>
      <c r="L232" t="s">
        <v>1637</v>
      </c>
      <c r="M232" t="s">
        <v>1638</v>
      </c>
      <c r="N232">
        <v>23</v>
      </c>
      <c r="O232" t="s">
        <v>742</v>
      </c>
      <c r="P232" t="s">
        <v>1639</v>
      </c>
      <c r="Q232" s="2">
        <v>5000000</v>
      </c>
      <c r="R232" t="s">
        <v>681</v>
      </c>
      <c r="S232" t="s">
        <v>2234</v>
      </c>
      <c r="T232">
        <v>54</v>
      </c>
      <c r="U232" t="s">
        <v>1111</v>
      </c>
      <c r="V232" t="s">
        <v>1633</v>
      </c>
      <c r="W232" t="s">
        <v>1634</v>
      </c>
      <c r="X232" t="s">
        <v>1632</v>
      </c>
      <c r="Y232" t="s">
        <v>681</v>
      </c>
      <c r="Z232" s="1">
        <v>45318</v>
      </c>
      <c r="AA232">
        <v>1</v>
      </c>
      <c r="AB232" t="s">
        <v>672</v>
      </c>
      <c r="AC232" t="s">
        <v>672</v>
      </c>
      <c r="AG232">
        <v>0</v>
      </c>
      <c r="AL232">
        <v>0</v>
      </c>
      <c r="AM232" t="s">
        <v>672</v>
      </c>
      <c r="AN232" t="s">
        <v>672</v>
      </c>
      <c r="AO232" t="s">
        <v>672</v>
      </c>
      <c r="AP232">
        <v>0</v>
      </c>
      <c r="AQ232">
        <v>0</v>
      </c>
      <c r="AR232" t="s">
        <v>672</v>
      </c>
      <c r="AS232">
        <v>1</v>
      </c>
      <c r="AT232">
        <v>2</v>
      </c>
    </row>
    <row r="233" spans="1:46">
      <c r="A233" t="s">
        <v>56</v>
      </c>
      <c r="B233">
        <v>237</v>
      </c>
      <c r="C233" t="s">
        <v>1640</v>
      </c>
      <c r="D233">
        <v>44</v>
      </c>
      <c r="E233" t="s">
        <v>2235</v>
      </c>
      <c r="F233" t="s">
        <v>882</v>
      </c>
      <c r="G233" t="s">
        <v>1643</v>
      </c>
      <c r="H233" t="s">
        <v>1644</v>
      </c>
      <c r="I233" t="s">
        <v>1642</v>
      </c>
      <c r="J233" t="s">
        <v>704</v>
      </c>
      <c r="K233" t="s">
        <v>677</v>
      </c>
      <c r="L233" t="s">
        <v>2236</v>
      </c>
      <c r="M233" t="s">
        <v>681</v>
      </c>
      <c r="N233" t="s">
        <v>681</v>
      </c>
      <c r="O233" t="s">
        <v>687</v>
      </c>
      <c r="P233" t="s">
        <v>681</v>
      </c>
      <c r="Q233" t="s">
        <v>2237</v>
      </c>
      <c r="R233" t="s">
        <v>681</v>
      </c>
      <c r="S233">
        <v>711129045</v>
      </c>
      <c r="T233">
        <v>54</v>
      </c>
      <c r="U233" t="s">
        <v>1111</v>
      </c>
      <c r="V233" t="s">
        <v>1602</v>
      </c>
      <c r="W233" t="s">
        <v>681</v>
      </c>
      <c r="X233" t="s">
        <v>1641</v>
      </c>
      <c r="Y233" t="s">
        <v>681</v>
      </c>
      <c r="Z233" s="1">
        <v>45318</v>
      </c>
      <c r="AA233">
        <v>1</v>
      </c>
      <c r="AB233" t="s">
        <v>672</v>
      </c>
      <c r="AC233" t="s">
        <v>672</v>
      </c>
      <c r="AG233">
        <v>0</v>
      </c>
      <c r="AL233">
        <v>0</v>
      </c>
      <c r="AM233" t="s">
        <v>672</v>
      </c>
      <c r="AN233" t="s">
        <v>672</v>
      </c>
      <c r="AO233" t="s">
        <v>672</v>
      </c>
      <c r="AP233">
        <v>0</v>
      </c>
      <c r="AQ233">
        <v>0</v>
      </c>
      <c r="AR233" t="s">
        <v>672</v>
      </c>
      <c r="AS233">
        <v>1</v>
      </c>
      <c r="AT233">
        <v>4</v>
      </c>
    </row>
    <row r="234" spans="1:46">
      <c r="A234" t="s">
        <v>98</v>
      </c>
      <c r="B234">
        <v>238</v>
      </c>
      <c r="C234" t="s">
        <v>99</v>
      </c>
      <c r="D234">
        <v>95</v>
      </c>
      <c r="E234" t="s">
        <v>99</v>
      </c>
      <c r="F234" t="s">
        <v>724</v>
      </c>
      <c r="G234" t="s">
        <v>1649</v>
      </c>
      <c r="H234" t="s">
        <v>1650</v>
      </c>
      <c r="I234" t="s">
        <v>1647</v>
      </c>
      <c r="J234" t="s">
        <v>676</v>
      </c>
      <c r="K234" t="s">
        <v>677</v>
      </c>
      <c r="L234" t="s">
        <v>1651</v>
      </c>
      <c r="M234" t="s">
        <v>1652</v>
      </c>
      <c r="N234">
        <v>16</v>
      </c>
      <c r="O234" t="s">
        <v>687</v>
      </c>
      <c r="P234" t="s">
        <v>681</v>
      </c>
      <c r="Q234" t="s">
        <v>681</v>
      </c>
      <c r="R234" t="s">
        <v>1648</v>
      </c>
      <c r="S234" t="s">
        <v>2238</v>
      </c>
      <c r="T234">
        <v>54</v>
      </c>
      <c r="U234" t="s">
        <v>1111</v>
      </c>
      <c r="V234" t="s">
        <v>1646</v>
      </c>
      <c r="X234" t="s">
        <v>1645</v>
      </c>
      <c r="Z234" s="1">
        <v>45318</v>
      </c>
      <c r="AA234">
        <v>1</v>
      </c>
      <c r="AB234" t="s">
        <v>672</v>
      </c>
      <c r="AC234" t="s">
        <v>672</v>
      </c>
      <c r="AG234">
        <v>0</v>
      </c>
      <c r="AL234">
        <v>0</v>
      </c>
      <c r="AM234" t="s">
        <v>672</v>
      </c>
      <c r="AN234" t="s">
        <v>672</v>
      </c>
      <c r="AO234" t="s">
        <v>672</v>
      </c>
      <c r="AP234">
        <v>0</v>
      </c>
      <c r="AQ234">
        <v>0</v>
      </c>
      <c r="AR234" t="s">
        <v>672</v>
      </c>
      <c r="AS234">
        <v>1</v>
      </c>
      <c r="AT234">
        <v>4</v>
      </c>
    </row>
    <row r="235" spans="1:46">
      <c r="A235" t="s">
        <v>1658</v>
      </c>
      <c r="B235">
        <v>239</v>
      </c>
      <c r="C235" t="s">
        <v>1653</v>
      </c>
      <c r="D235">
        <v>95</v>
      </c>
      <c r="E235" t="s">
        <v>2239</v>
      </c>
      <c r="F235" t="s">
        <v>882</v>
      </c>
      <c r="G235" t="s">
        <v>1660</v>
      </c>
      <c r="H235" t="s">
        <v>1661</v>
      </c>
      <c r="I235" t="s">
        <v>1657</v>
      </c>
      <c r="J235" t="s">
        <v>704</v>
      </c>
      <c r="K235" t="s">
        <v>677</v>
      </c>
      <c r="L235" t="s">
        <v>2240</v>
      </c>
      <c r="M235" t="s">
        <v>681</v>
      </c>
      <c r="N235" t="s">
        <v>681</v>
      </c>
      <c r="O235" t="s">
        <v>692</v>
      </c>
      <c r="P235" t="s">
        <v>681</v>
      </c>
      <c r="Q235" s="2">
        <v>1000000</v>
      </c>
      <c r="R235" t="s">
        <v>1659</v>
      </c>
      <c r="S235">
        <v>700867044</v>
      </c>
      <c r="T235">
        <v>54</v>
      </c>
      <c r="U235" t="s">
        <v>1111</v>
      </c>
      <c r="V235" t="s">
        <v>1655</v>
      </c>
      <c r="W235" t="s">
        <v>1656</v>
      </c>
      <c r="X235" t="s">
        <v>1654</v>
      </c>
      <c r="Y235" t="s">
        <v>681</v>
      </c>
      <c r="Z235" s="1">
        <v>45318</v>
      </c>
      <c r="AA235">
        <v>1</v>
      </c>
      <c r="AB235" t="s">
        <v>672</v>
      </c>
      <c r="AC235" t="s">
        <v>672</v>
      </c>
      <c r="AG235">
        <v>0</v>
      </c>
      <c r="AL235">
        <v>0</v>
      </c>
      <c r="AM235" t="s">
        <v>672</v>
      </c>
      <c r="AN235" t="s">
        <v>672</v>
      </c>
      <c r="AO235" t="s">
        <v>672</v>
      </c>
      <c r="AP235">
        <v>0</v>
      </c>
      <c r="AQ235">
        <v>0</v>
      </c>
      <c r="AR235" t="s">
        <v>672</v>
      </c>
      <c r="AS235">
        <v>1</v>
      </c>
      <c r="AT235">
        <v>4</v>
      </c>
    </row>
    <row r="236" spans="1:46">
      <c r="A236" t="s">
        <v>644</v>
      </c>
      <c r="B236">
        <v>240</v>
      </c>
      <c r="C236" t="s">
        <v>645</v>
      </c>
      <c r="D236">
        <v>78</v>
      </c>
      <c r="E236" t="s">
        <v>645</v>
      </c>
      <c r="F236" t="s">
        <v>1663</v>
      </c>
      <c r="G236" t="s">
        <v>1666</v>
      </c>
      <c r="H236" t="s">
        <v>1667</v>
      </c>
      <c r="I236" t="s">
        <v>1664</v>
      </c>
      <c r="J236" t="s">
        <v>676</v>
      </c>
      <c r="K236" t="s">
        <v>677</v>
      </c>
      <c r="L236" t="s">
        <v>1668</v>
      </c>
      <c r="M236" t="s">
        <v>1669</v>
      </c>
      <c r="N236">
        <v>111</v>
      </c>
      <c r="P236" t="s">
        <v>1670</v>
      </c>
      <c r="Q236" t="s">
        <v>681</v>
      </c>
      <c r="R236" t="s">
        <v>1665</v>
      </c>
      <c r="S236">
        <v>506846054</v>
      </c>
      <c r="T236">
        <v>54</v>
      </c>
      <c r="U236" t="s">
        <v>1111</v>
      </c>
      <c r="V236" t="s">
        <v>1655</v>
      </c>
      <c r="X236" t="s">
        <v>1662</v>
      </c>
      <c r="Z236" s="1">
        <v>45318</v>
      </c>
      <c r="AA236">
        <v>1</v>
      </c>
      <c r="AB236" t="s">
        <v>672</v>
      </c>
      <c r="AC236" t="s">
        <v>672</v>
      </c>
      <c r="AG236">
        <v>0</v>
      </c>
      <c r="AL236">
        <v>0</v>
      </c>
      <c r="AM236" t="s">
        <v>672</v>
      </c>
      <c r="AN236" t="s">
        <v>672</v>
      </c>
      <c r="AO236" t="s">
        <v>672</v>
      </c>
      <c r="AP236">
        <v>0</v>
      </c>
      <c r="AQ236">
        <v>0</v>
      </c>
      <c r="AR236" t="s">
        <v>672</v>
      </c>
      <c r="AS236">
        <v>1</v>
      </c>
      <c r="AT236">
        <v>4</v>
      </c>
    </row>
    <row r="237" spans="1:46">
      <c r="A237" t="s">
        <v>384</v>
      </c>
      <c r="B237">
        <v>241</v>
      </c>
      <c r="C237" t="s">
        <v>385</v>
      </c>
      <c r="D237">
        <v>48</v>
      </c>
      <c r="E237" t="s">
        <v>2241</v>
      </c>
      <c r="F237" t="s">
        <v>1361</v>
      </c>
      <c r="G237" t="s">
        <v>1673</v>
      </c>
      <c r="H237" t="s">
        <v>1674</v>
      </c>
      <c r="I237" t="s">
        <v>1672</v>
      </c>
      <c r="J237" t="s">
        <v>704</v>
      </c>
      <c r="K237" t="s">
        <v>677</v>
      </c>
      <c r="L237" t="s">
        <v>1675</v>
      </c>
      <c r="M237" t="s">
        <v>1676</v>
      </c>
      <c r="N237">
        <v>442</v>
      </c>
      <c r="O237" t="s">
        <v>834</v>
      </c>
      <c r="Q237">
        <v>1000000</v>
      </c>
      <c r="S237">
        <v>759737728</v>
      </c>
      <c r="T237">
        <v>54</v>
      </c>
      <c r="U237" t="s">
        <v>1111</v>
      </c>
      <c r="X237" t="s">
        <v>1671</v>
      </c>
      <c r="Z237" s="1">
        <v>45318</v>
      </c>
      <c r="AA237">
        <v>1</v>
      </c>
      <c r="AB237" t="s">
        <v>672</v>
      </c>
      <c r="AC237" t="s">
        <v>672</v>
      </c>
      <c r="AG237">
        <v>0</v>
      </c>
      <c r="AL237">
        <v>0</v>
      </c>
      <c r="AM237" t="s">
        <v>672</v>
      </c>
      <c r="AN237" t="s">
        <v>672</v>
      </c>
      <c r="AO237" t="s">
        <v>672</v>
      </c>
      <c r="AP237">
        <v>0</v>
      </c>
      <c r="AQ237">
        <v>0</v>
      </c>
      <c r="AR237" t="s">
        <v>672</v>
      </c>
      <c r="AS237">
        <v>1</v>
      </c>
      <c r="AT237">
        <v>4</v>
      </c>
    </row>
    <row r="238" spans="1:46">
      <c r="A238" t="s">
        <v>1680</v>
      </c>
      <c r="B238">
        <v>242</v>
      </c>
      <c r="C238" t="s">
        <v>1677</v>
      </c>
      <c r="D238">
        <v>49</v>
      </c>
      <c r="E238" t="s">
        <v>2242</v>
      </c>
      <c r="F238" t="s">
        <v>1678</v>
      </c>
      <c r="G238" t="s">
        <v>1681</v>
      </c>
      <c r="H238" t="s">
        <v>1682</v>
      </c>
      <c r="I238" t="s">
        <v>1679</v>
      </c>
      <c r="J238" t="s">
        <v>676</v>
      </c>
      <c r="K238" t="s">
        <v>677</v>
      </c>
      <c r="L238" t="s">
        <v>1683</v>
      </c>
    </row>
    <row r="239" spans="1:46">
      <c r="A239" t="s">
        <v>1686</v>
      </c>
      <c r="B239">
        <v>243</v>
      </c>
      <c r="C239" t="s">
        <v>2243</v>
      </c>
      <c r="D239">
        <v>50</v>
      </c>
      <c r="E239" t="s">
        <v>2244</v>
      </c>
      <c r="F239" t="s">
        <v>1440</v>
      </c>
      <c r="G239" t="s">
        <v>1687</v>
      </c>
      <c r="H239" t="s">
        <v>1688</v>
      </c>
      <c r="I239" t="s">
        <v>1685</v>
      </c>
      <c r="J239" t="s">
        <v>704</v>
      </c>
      <c r="K239" t="s">
        <v>677</v>
      </c>
      <c r="L239" t="s">
        <v>1428</v>
      </c>
      <c r="Q239" s="2">
        <v>10000000</v>
      </c>
      <c r="S239">
        <v>505971751</v>
      </c>
      <c r="T239">
        <v>54</v>
      </c>
      <c r="U239" t="s">
        <v>1416</v>
      </c>
      <c r="V239" t="s">
        <v>1684</v>
      </c>
      <c r="X239" t="s">
        <v>1161</v>
      </c>
      <c r="Z239" s="1">
        <v>45319</v>
      </c>
      <c r="AA239">
        <v>1</v>
      </c>
      <c r="AB239" t="s">
        <v>672</v>
      </c>
      <c r="AC239" t="s">
        <v>672</v>
      </c>
      <c r="AG239">
        <v>0</v>
      </c>
      <c r="AL239">
        <v>0</v>
      </c>
      <c r="AM239" t="s">
        <v>672</v>
      </c>
      <c r="AN239" t="s">
        <v>672</v>
      </c>
      <c r="AO239" t="s">
        <v>672</v>
      </c>
      <c r="AP239">
        <v>0</v>
      </c>
      <c r="AQ239">
        <v>0</v>
      </c>
      <c r="AR239" t="s">
        <v>672</v>
      </c>
      <c r="AS239">
        <v>1</v>
      </c>
      <c r="AT239">
        <v>6</v>
      </c>
    </row>
    <row r="240" spans="1:46">
      <c r="A240" t="s">
        <v>1693</v>
      </c>
      <c r="B240">
        <v>244</v>
      </c>
      <c r="C240" t="s">
        <v>1689</v>
      </c>
      <c r="D240">
        <v>52</v>
      </c>
      <c r="E240" t="s">
        <v>2245</v>
      </c>
      <c r="F240" t="s">
        <v>882</v>
      </c>
      <c r="G240" t="s">
        <v>1694</v>
      </c>
      <c r="H240" t="s">
        <v>1695</v>
      </c>
      <c r="I240" t="s">
        <v>1692</v>
      </c>
      <c r="J240" t="s">
        <v>704</v>
      </c>
      <c r="K240" t="s">
        <v>677</v>
      </c>
      <c r="L240" t="s">
        <v>1696</v>
      </c>
      <c r="M240" t="s">
        <v>1697</v>
      </c>
      <c r="N240">
        <v>43</v>
      </c>
      <c r="O240" t="s">
        <v>942</v>
      </c>
      <c r="Q240">
        <v>1000000</v>
      </c>
      <c r="S240">
        <v>768209206</v>
      </c>
      <c r="T240">
        <v>54</v>
      </c>
      <c r="U240" t="s">
        <v>1111</v>
      </c>
      <c r="V240" t="s">
        <v>1691</v>
      </c>
      <c r="X240" t="s">
        <v>1690</v>
      </c>
      <c r="Z240" s="1">
        <v>45320</v>
      </c>
      <c r="AA240">
        <v>1</v>
      </c>
      <c r="AB240" t="s">
        <v>672</v>
      </c>
      <c r="AC240" t="s">
        <v>672</v>
      </c>
      <c r="AG240">
        <v>0</v>
      </c>
      <c r="AL240">
        <v>0</v>
      </c>
      <c r="AM240" t="s">
        <v>672</v>
      </c>
      <c r="AN240" t="s">
        <v>672</v>
      </c>
      <c r="AO240" t="s">
        <v>672</v>
      </c>
      <c r="AP240">
        <v>0</v>
      </c>
      <c r="AQ240">
        <v>0</v>
      </c>
      <c r="AR240" t="s">
        <v>672</v>
      </c>
      <c r="AS240">
        <v>1</v>
      </c>
      <c r="AT240">
        <v>4</v>
      </c>
    </row>
    <row r="241" spans="1:46">
      <c r="A241" t="s">
        <v>1702</v>
      </c>
      <c r="B241">
        <v>245</v>
      </c>
      <c r="C241" t="s">
        <v>1698</v>
      </c>
      <c r="D241">
        <v>76</v>
      </c>
      <c r="E241" t="s">
        <v>2246</v>
      </c>
      <c r="F241" t="s">
        <v>882</v>
      </c>
      <c r="G241" t="s">
        <v>1703</v>
      </c>
      <c r="H241" t="s">
        <v>1704</v>
      </c>
      <c r="I241" t="s">
        <v>1701</v>
      </c>
      <c r="J241" t="s">
        <v>704</v>
      </c>
      <c r="K241" t="s">
        <v>677</v>
      </c>
      <c r="L241" t="s">
        <v>1705</v>
      </c>
      <c r="O241" t="s">
        <v>750</v>
      </c>
      <c r="P241" t="s">
        <v>1706</v>
      </c>
      <c r="Q241">
        <v>1000000</v>
      </c>
      <c r="S241">
        <v>708313110</v>
      </c>
      <c r="T241">
        <v>54</v>
      </c>
      <c r="U241" t="s">
        <v>1111</v>
      </c>
      <c r="V241" t="s">
        <v>1700</v>
      </c>
      <c r="X241" t="s">
        <v>1699</v>
      </c>
      <c r="Z241" s="1">
        <v>45320</v>
      </c>
      <c r="AA241">
        <v>1</v>
      </c>
      <c r="AB241" t="s">
        <v>672</v>
      </c>
      <c r="AC241" t="s">
        <v>672</v>
      </c>
      <c r="AG241">
        <v>0</v>
      </c>
      <c r="AL241">
        <v>0</v>
      </c>
      <c r="AM241" t="s">
        <v>672</v>
      </c>
      <c r="AN241" t="s">
        <v>672</v>
      </c>
      <c r="AO241" t="s">
        <v>672</v>
      </c>
      <c r="AP241">
        <v>0</v>
      </c>
      <c r="AQ241">
        <v>0</v>
      </c>
      <c r="AR241" t="s">
        <v>672</v>
      </c>
      <c r="AS241">
        <v>1</v>
      </c>
      <c r="AT241">
        <v>4</v>
      </c>
    </row>
    <row r="242" spans="1:46">
      <c r="A242" t="s">
        <v>128</v>
      </c>
      <c r="B242">
        <v>246</v>
      </c>
      <c r="C242" t="s">
        <v>2247</v>
      </c>
      <c r="D242">
        <v>69</v>
      </c>
      <c r="E242" t="s">
        <v>2248</v>
      </c>
      <c r="F242" t="s">
        <v>2139</v>
      </c>
      <c r="G242" t="s">
        <v>1708</v>
      </c>
      <c r="H242" t="s">
        <v>1709</v>
      </c>
      <c r="I242" t="s">
        <v>1707</v>
      </c>
      <c r="J242" t="s">
        <v>704</v>
      </c>
      <c r="K242" t="s">
        <v>677</v>
      </c>
      <c r="L242" t="s">
        <v>2249</v>
      </c>
      <c r="M242" t="s">
        <v>1710</v>
      </c>
      <c r="N242">
        <v>45</v>
      </c>
      <c r="O242" t="s">
        <v>834</v>
      </c>
      <c r="P242" t="s">
        <v>681</v>
      </c>
      <c r="Q242" s="2">
        <v>1000000</v>
      </c>
      <c r="R242" t="s">
        <v>681</v>
      </c>
      <c r="S242" t="s">
        <v>2250</v>
      </c>
      <c r="T242">
        <v>54</v>
      </c>
      <c r="U242" t="s">
        <v>1111</v>
      </c>
      <c r="W242" t="s">
        <v>681</v>
      </c>
      <c r="X242" t="s">
        <v>671</v>
      </c>
      <c r="Y242" t="s">
        <v>681</v>
      </c>
      <c r="Z242" s="1">
        <v>45127</v>
      </c>
      <c r="AA242">
        <v>1</v>
      </c>
      <c r="AB242" t="s">
        <v>672</v>
      </c>
      <c r="AC242" t="s">
        <v>672</v>
      </c>
      <c r="AG242">
        <v>0</v>
      </c>
      <c r="AL242">
        <v>0</v>
      </c>
      <c r="AM242" t="s">
        <v>672</v>
      </c>
      <c r="AN242" t="s">
        <v>672</v>
      </c>
      <c r="AO242" t="s">
        <v>672</v>
      </c>
      <c r="AP242">
        <v>0</v>
      </c>
      <c r="AQ242">
        <v>0</v>
      </c>
      <c r="AR242" t="s">
        <v>672</v>
      </c>
      <c r="AS242">
        <v>1</v>
      </c>
      <c r="AT242">
        <v>2</v>
      </c>
    </row>
    <row r="243" spans="1:46">
      <c r="A243" t="s">
        <v>608</v>
      </c>
      <c r="B243">
        <v>247</v>
      </c>
      <c r="C243" t="s">
        <v>609</v>
      </c>
      <c r="D243">
        <v>69</v>
      </c>
      <c r="E243" t="s">
        <v>2251</v>
      </c>
      <c r="F243" t="s">
        <v>2127</v>
      </c>
      <c r="G243" t="s">
        <v>1714</v>
      </c>
      <c r="H243" t="s">
        <v>1715</v>
      </c>
      <c r="I243" t="s">
        <v>1713</v>
      </c>
      <c r="J243" t="s">
        <v>704</v>
      </c>
      <c r="K243" t="s">
        <v>677</v>
      </c>
      <c r="L243" t="s">
        <v>1716</v>
      </c>
      <c r="M243" t="s">
        <v>1717</v>
      </c>
      <c r="N243">
        <v>397</v>
      </c>
      <c r="O243" t="s">
        <v>942</v>
      </c>
      <c r="P243" t="s">
        <v>879</v>
      </c>
      <c r="Q243" s="2">
        <v>5000000</v>
      </c>
      <c r="R243" t="s">
        <v>681</v>
      </c>
      <c r="S243" t="s">
        <v>2252</v>
      </c>
      <c r="T243">
        <v>54</v>
      </c>
      <c r="U243" t="s">
        <v>1111</v>
      </c>
      <c r="V243" t="s">
        <v>1712</v>
      </c>
      <c r="W243" t="s">
        <v>681</v>
      </c>
      <c r="X243" t="s">
        <v>1711</v>
      </c>
      <c r="Y243" t="s">
        <v>681</v>
      </c>
      <c r="Z243" s="1">
        <v>45217</v>
      </c>
      <c r="AA243">
        <v>1</v>
      </c>
      <c r="AB243" t="s">
        <v>672</v>
      </c>
      <c r="AC243" t="s">
        <v>672</v>
      </c>
      <c r="AG243">
        <v>0</v>
      </c>
      <c r="AL243">
        <v>0</v>
      </c>
      <c r="AM243" t="s">
        <v>672</v>
      </c>
      <c r="AN243" t="s">
        <v>672</v>
      </c>
      <c r="AO243" t="s">
        <v>672</v>
      </c>
      <c r="AP243">
        <v>0</v>
      </c>
      <c r="AQ243">
        <v>0</v>
      </c>
      <c r="AR243" t="s">
        <v>672</v>
      </c>
      <c r="AS243">
        <v>1</v>
      </c>
      <c r="AT243">
        <v>2</v>
      </c>
    </row>
    <row r="244" spans="1:46">
      <c r="A244" t="s">
        <v>1722</v>
      </c>
      <c r="B244">
        <v>248</v>
      </c>
      <c r="C244" t="s">
        <v>1718</v>
      </c>
      <c r="D244">
        <v>69</v>
      </c>
      <c r="E244" t="s">
        <v>2253</v>
      </c>
      <c r="F244" t="s">
        <v>882</v>
      </c>
      <c r="G244" t="s">
        <v>1723</v>
      </c>
      <c r="H244" t="s">
        <v>1724</v>
      </c>
      <c r="I244" t="s">
        <v>1721</v>
      </c>
      <c r="J244" t="s">
        <v>704</v>
      </c>
      <c r="K244" t="s">
        <v>677</v>
      </c>
      <c r="L244" t="s">
        <v>1725</v>
      </c>
      <c r="M244" t="s">
        <v>1726</v>
      </c>
      <c r="O244" t="s">
        <v>942</v>
      </c>
      <c r="P244" t="s">
        <v>896</v>
      </c>
      <c r="Q244">
        <v>1000000</v>
      </c>
      <c r="S244">
        <v>505890414</v>
      </c>
      <c r="T244">
        <v>54</v>
      </c>
      <c r="U244" t="s">
        <v>1111</v>
      </c>
      <c r="V244" t="s">
        <v>1720</v>
      </c>
      <c r="X244" t="s">
        <v>1719</v>
      </c>
      <c r="Z244" s="1">
        <v>45320</v>
      </c>
      <c r="AA244">
        <v>1</v>
      </c>
      <c r="AB244" t="s">
        <v>672</v>
      </c>
      <c r="AC244" t="s">
        <v>672</v>
      </c>
      <c r="AG244">
        <v>0</v>
      </c>
      <c r="AL244">
        <v>0</v>
      </c>
      <c r="AM244" t="s">
        <v>672</v>
      </c>
      <c r="AN244" t="s">
        <v>672</v>
      </c>
      <c r="AO244" t="s">
        <v>672</v>
      </c>
      <c r="AP244">
        <v>0</v>
      </c>
      <c r="AQ244">
        <v>0</v>
      </c>
      <c r="AR244" t="s">
        <v>672</v>
      </c>
      <c r="AS244">
        <v>1</v>
      </c>
      <c r="AT244">
        <v>4</v>
      </c>
    </row>
    <row r="245" spans="1:46">
      <c r="A245" t="s">
        <v>472</v>
      </c>
      <c r="B245">
        <v>249</v>
      </c>
      <c r="C245" t="s">
        <v>1727</v>
      </c>
      <c r="D245">
        <v>69</v>
      </c>
      <c r="E245" t="s">
        <v>2254</v>
      </c>
      <c r="F245" t="s">
        <v>2255</v>
      </c>
      <c r="G245" t="s">
        <v>1723</v>
      </c>
      <c r="H245" t="s">
        <v>1715</v>
      </c>
      <c r="I245" t="s">
        <v>1357</v>
      </c>
      <c r="J245" t="s">
        <v>704</v>
      </c>
      <c r="K245" t="s">
        <v>677</v>
      </c>
      <c r="L245" t="s">
        <v>2256</v>
      </c>
      <c r="M245" t="s">
        <v>681</v>
      </c>
      <c r="N245" t="s">
        <v>681</v>
      </c>
      <c r="O245" t="s">
        <v>687</v>
      </c>
      <c r="P245" t="s">
        <v>1730</v>
      </c>
      <c r="Q245" s="2">
        <v>1000000</v>
      </c>
      <c r="R245" t="s">
        <v>681</v>
      </c>
      <c r="S245">
        <v>707438904</v>
      </c>
      <c r="T245">
        <v>54</v>
      </c>
      <c r="U245" t="s">
        <v>1111</v>
      </c>
      <c r="V245" t="s">
        <v>681</v>
      </c>
      <c r="W245" t="s">
        <v>1728</v>
      </c>
      <c r="X245" t="s">
        <v>728</v>
      </c>
      <c r="Y245" t="s">
        <v>681</v>
      </c>
      <c r="Z245" s="1">
        <v>44985</v>
      </c>
      <c r="AA245">
        <v>1</v>
      </c>
      <c r="AB245" t="s">
        <v>672</v>
      </c>
      <c r="AC245" t="s">
        <v>672</v>
      </c>
      <c r="AG245">
        <v>0</v>
      </c>
      <c r="AL245">
        <v>0</v>
      </c>
      <c r="AM245" t="s">
        <v>672</v>
      </c>
      <c r="AN245" t="s">
        <v>672</v>
      </c>
      <c r="AO245" t="s">
        <v>672</v>
      </c>
      <c r="AP245">
        <v>0</v>
      </c>
      <c r="AQ245">
        <v>0</v>
      </c>
      <c r="AR245" t="s">
        <v>672</v>
      </c>
      <c r="AS245">
        <v>1</v>
      </c>
      <c r="AT245">
        <v>2</v>
      </c>
    </row>
    <row r="246" spans="1:46">
      <c r="A246" t="s">
        <v>586</v>
      </c>
      <c r="B246">
        <v>250</v>
      </c>
      <c r="C246" t="s">
        <v>1731</v>
      </c>
      <c r="D246">
        <v>70</v>
      </c>
      <c r="E246" t="s">
        <v>2257</v>
      </c>
      <c r="F246" t="s">
        <v>2139</v>
      </c>
      <c r="G246" t="s">
        <v>2258</v>
      </c>
      <c r="H246" t="s">
        <v>2259</v>
      </c>
      <c r="I246" t="s">
        <v>1733</v>
      </c>
      <c r="J246" t="s">
        <v>704</v>
      </c>
      <c r="K246" t="s">
        <v>677</v>
      </c>
      <c r="L246" t="s">
        <v>1735</v>
      </c>
      <c r="M246" t="s">
        <v>1736</v>
      </c>
      <c r="N246">
        <v>44</v>
      </c>
      <c r="O246" t="s">
        <v>692</v>
      </c>
      <c r="P246" t="s">
        <v>896</v>
      </c>
      <c r="Q246" s="2">
        <v>1000000</v>
      </c>
      <c r="R246" t="s">
        <v>681</v>
      </c>
      <c r="S246">
        <v>757515428</v>
      </c>
      <c r="T246">
        <v>54</v>
      </c>
      <c r="U246" t="s">
        <v>1111</v>
      </c>
      <c r="V246" t="s">
        <v>1732</v>
      </c>
      <c r="W246" t="s">
        <v>681</v>
      </c>
      <c r="X246" t="s">
        <v>689</v>
      </c>
      <c r="Y246" t="s">
        <v>681</v>
      </c>
      <c r="Z246" s="1">
        <v>44957</v>
      </c>
      <c r="AA246">
        <v>1</v>
      </c>
      <c r="AB246" t="s">
        <v>672</v>
      </c>
      <c r="AC246" t="s">
        <v>672</v>
      </c>
      <c r="AG246">
        <v>0</v>
      </c>
      <c r="AL246">
        <v>0</v>
      </c>
      <c r="AM246" t="s">
        <v>672</v>
      </c>
      <c r="AN246" t="s">
        <v>672</v>
      </c>
      <c r="AO246" t="s">
        <v>672</v>
      </c>
      <c r="AP246">
        <v>0</v>
      </c>
      <c r="AQ246">
        <v>0</v>
      </c>
      <c r="AR246" t="s">
        <v>672</v>
      </c>
      <c r="AS246">
        <v>1</v>
      </c>
      <c r="AT246">
        <v>2</v>
      </c>
    </row>
    <row r="247" spans="1:46">
      <c r="A247" t="s">
        <v>560</v>
      </c>
      <c r="B247">
        <v>251</v>
      </c>
      <c r="C247" t="s">
        <v>633</v>
      </c>
      <c r="D247">
        <v>72</v>
      </c>
      <c r="E247" t="s">
        <v>2260</v>
      </c>
      <c r="F247" t="s">
        <v>2127</v>
      </c>
      <c r="G247" t="s">
        <v>2261</v>
      </c>
      <c r="H247" t="s">
        <v>2262</v>
      </c>
      <c r="I247" t="s">
        <v>1739</v>
      </c>
      <c r="J247" t="s">
        <v>704</v>
      </c>
      <c r="K247" t="s">
        <v>677</v>
      </c>
      <c r="L247" t="s">
        <v>1741</v>
      </c>
      <c r="M247" t="s">
        <v>1742</v>
      </c>
      <c r="N247">
        <v>155</v>
      </c>
      <c r="O247" t="s">
        <v>834</v>
      </c>
      <c r="P247" t="s">
        <v>1743</v>
      </c>
      <c r="Q247" s="2">
        <v>5000000</v>
      </c>
      <c r="R247" t="s">
        <v>681</v>
      </c>
      <c r="S247">
        <v>747343451</v>
      </c>
      <c r="T247">
        <v>54</v>
      </c>
      <c r="U247" t="s">
        <v>1111</v>
      </c>
      <c r="V247" t="s">
        <v>1738</v>
      </c>
      <c r="W247" t="s">
        <v>681</v>
      </c>
      <c r="X247" t="s">
        <v>1737</v>
      </c>
      <c r="Y247" t="s">
        <v>681</v>
      </c>
      <c r="Z247" s="1">
        <v>44957</v>
      </c>
      <c r="AA247">
        <v>1</v>
      </c>
      <c r="AB247" t="s">
        <v>672</v>
      </c>
      <c r="AC247" t="s">
        <v>672</v>
      </c>
      <c r="AG247">
        <v>0</v>
      </c>
      <c r="AL247">
        <v>0</v>
      </c>
      <c r="AM247" t="s">
        <v>672</v>
      </c>
      <c r="AN247" t="s">
        <v>672</v>
      </c>
      <c r="AO247" t="s">
        <v>672</v>
      </c>
      <c r="AP247">
        <v>0</v>
      </c>
      <c r="AQ247">
        <v>0</v>
      </c>
      <c r="AR247" t="s">
        <v>672</v>
      </c>
      <c r="AS247">
        <v>1</v>
      </c>
      <c r="AT247">
        <v>2</v>
      </c>
    </row>
    <row r="248" spans="1:46">
      <c r="A248" t="s">
        <v>296</v>
      </c>
      <c r="B248">
        <v>252</v>
      </c>
      <c r="C248" t="s">
        <v>297</v>
      </c>
      <c r="D248">
        <v>72</v>
      </c>
      <c r="E248" t="s">
        <v>2263</v>
      </c>
      <c r="F248" t="s">
        <v>882</v>
      </c>
      <c r="G248" t="s">
        <v>1747</v>
      </c>
      <c r="H248" t="s">
        <v>1748</v>
      </c>
      <c r="I248" t="s">
        <v>1745</v>
      </c>
      <c r="J248" t="s">
        <v>704</v>
      </c>
      <c r="K248" t="s">
        <v>677</v>
      </c>
      <c r="L248" t="s">
        <v>1637</v>
      </c>
      <c r="O248" t="s">
        <v>750</v>
      </c>
      <c r="Q248">
        <v>1000000</v>
      </c>
      <c r="R248" t="s">
        <v>1746</v>
      </c>
      <c r="S248">
        <v>757417993</v>
      </c>
      <c r="T248">
        <v>54</v>
      </c>
      <c r="U248" t="s">
        <v>1111</v>
      </c>
      <c r="V248" t="s">
        <v>1744</v>
      </c>
      <c r="X248" t="s">
        <v>763</v>
      </c>
      <c r="Z248" s="1">
        <v>45320</v>
      </c>
      <c r="AA248">
        <v>1</v>
      </c>
      <c r="AB248" t="s">
        <v>672</v>
      </c>
      <c r="AC248" t="s">
        <v>672</v>
      </c>
      <c r="AG248">
        <v>0</v>
      </c>
      <c r="AL248">
        <v>0</v>
      </c>
      <c r="AM248" t="s">
        <v>672</v>
      </c>
      <c r="AN248" t="s">
        <v>672</v>
      </c>
      <c r="AO248" t="s">
        <v>672</v>
      </c>
      <c r="AP248">
        <v>0</v>
      </c>
      <c r="AQ248">
        <v>0</v>
      </c>
      <c r="AR248" t="s">
        <v>672</v>
      </c>
      <c r="AS248">
        <v>1</v>
      </c>
      <c r="AT248">
        <v>4</v>
      </c>
    </row>
    <row r="249" spans="1:46">
      <c r="A249" t="s">
        <v>422</v>
      </c>
      <c r="B249">
        <v>253</v>
      </c>
      <c r="C249" t="s">
        <v>423</v>
      </c>
      <c r="D249">
        <v>78</v>
      </c>
      <c r="E249" t="s">
        <v>2264</v>
      </c>
      <c r="F249" t="s">
        <v>882</v>
      </c>
      <c r="G249" t="s">
        <v>1750</v>
      </c>
      <c r="H249" t="s">
        <v>1751</v>
      </c>
      <c r="I249" t="s">
        <v>1749</v>
      </c>
      <c r="J249" t="s">
        <v>704</v>
      </c>
      <c r="K249" t="s">
        <v>677</v>
      </c>
      <c r="L249" t="s">
        <v>1752</v>
      </c>
      <c r="Q249">
        <v>1000000</v>
      </c>
      <c r="S249">
        <v>749647044</v>
      </c>
      <c r="T249">
        <v>54</v>
      </c>
      <c r="U249" t="s">
        <v>1111</v>
      </c>
      <c r="X249" t="s">
        <v>782</v>
      </c>
      <c r="Z249" s="1">
        <v>45320</v>
      </c>
      <c r="AA249">
        <v>1</v>
      </c>
      <c r="AB249" t="s">
        <v>672</v>
      </c>
      <c r="AC249" t="s">
        <v>672</v>
      </c>
      <c r="AG249">
        <v>0</v>
      </c>
      <c r="AL249">
        <v>0</v>
      </c>
      <c r="AM249" t="s">
        <v>672</v>
      </c>
      <c r="AN249" t="s">
        <v>672</v>
      </c>
      <c r="AO249" t="s">
        <v>672</v>
      </c>
      <c r="AP249">
        <v>0</v>
      </c>
      <c r="AQ249">
        <v>0</v>
      </c>
      <c r="AR249" t="s">
        <v>672</v>
      </c>
      <c r="AS249">
        <v>1</v>
      </c>
      <c r="AT249">
        <v>4</v>
      </c>
    </row>
    <row r="250" spans="1:46">
      <c r="A250" t="s">
        <v>582</v>
      </c>
      <c r="B250">
        <v>254</v>
      </c>
      <c r="C250" t="s">
        <v>583</v>
      </c>
      <c r="D250">
        <v>74</v>
      </c>
      <c r="E250" t="s">
        <v>2265</v>
      </c>
      <c r="F250" t="s">
        <v>882</v>
      </c>
      <c r="G250" t="s">
        <v>1755</v>
      </c>
      <c r="H250" t="s">
        <v>1756</v>
      </c>
      <c r="I250" t="s">
        <v>1754</v>
      </c>
      <c r="J250" t="s">
        <v>704</v>
      </c>
      <c r="K250" t="s">
        <v>677</v>
      </c>
      <c r="L250" t="s">
        <v>1757</v>
      </c>
      <c r="O250" t="s">
        <v>1222</v>
      </c>
      <c r="Q250">
        <v>1000000</v>
      </c>
      <c r="S250">
        <v>505544586</v>
      </c>
      <c r="T250">
        <v>54</v>
      </c>
      <c r="U250" t="s">
        <v>1111</v>
      </c>
      <c r="X250" t="s">
        <v>2266</v>
      </c>
      <c r="Z250" s="1">
        <v>45320</v>
      </c>
      <c r="AA250">
        <v>1</v>
      </c>
      <c r="AB250" t="s">
        <v>672</v>
      </c>
      <c r="AC250" t="s">
        <v>672</v>
      </c>
      <c r="AG250">
        <v>0</v>
      </c>
      <c r="AL250">
        <v>0</v>
      </c>
      <c r="AM250" t="s">
        <v>672</v>
      </c>
      <c r="AN250" t="s">
        <v>672</v>
      </c>
      <c r="AO250" t="s">
        <v>672</v>
      </c>
      <c r="AP250">
        <v>0</v>
      </c>
      <c r="AQ250">
        <v>0</v>
      </c>
      <c r="AR250" t="s">
        <v>672</v>
      </c>
      <c r="AS250">
        <v>1</v>
      </c>
      <c r="AT250">
        <v>4</v>
      </c>
    </row>
    <row r="251" spans="1:46">
      <c r="A251" t="s">
        <v>442</v>
      </c>
      <c r="B251">
        <v>255</v>
      </c>
      <c r="C251" t="s">
        <v>2267</v>
      </c>
      <c r="D251">
        <v>75</v>
      </c>
      <c r="E251" t="s">
        <v>2268</v>
      </c>
      <c r="F251" t="s">
        <v>2127</v>
      </c>
      <c r="G251" t="s">
        <v>1761</v>
      </c>
      <c r="H251" t="s">
        <v>1762</v>
      </c>
      <c r="I251" t="s">
        <v>1760</v>
      </c>
      <c r="J251" t="s">
        <v>704</v>
      </c>
      <c r="K251" t="s">
        <v>677</v>
      </c>
      <c r="M251" t="s">
        <v>681</v>
      </c>
      <c r="N251" t="s">
        <v>681</v>
      </c>
      <c r="O251" t="s">
        <v>1222</v>
      </c>
      <c r="P251" t="s">
        <v>1585</v>
      </c>
      <c r="Q251" s="2">
        <v>5000000</v>
      </c>
      <c r="R251" t="s">
        <v>681</v>
      </c>
      <c r="S251">
        <v>505059047</v>
      </c>
      <c r="T251">
        <v>54</v>
      </c>
      <c r="U251" t="s">
        <v>1111</v>
      </c>
      <c r="V251" t="s">
        <v>1759</v>
      </c>
      <c r="W251" t="s">
        <v>681</v>
      </c>
      <c r="X251" t="s">
        <v>2269</v>
      </c>
      <c r="Y251" t="s">
        <v>681</v>
      </c>
      <c r="Z251" s="1">
        <v>43871</v>
      </c>
      <c r="AA251">
        <v>1</v>
      </c>
      <c r="AB251" t="s">
        <v>672</v>
      </c>
      <c r="AC251" t="s">
        <v>672</v>
      </c>
      <c r="AG251">
        <v>0</v>
      </c>
      <c r="AL251">
        <v>0</v>
      </c>
      <c r="AM251" t="s">
        <v>672</v>
      </c>
      <c r="AN251" t="s">
        <v>672</v>
      </c>
      <c r="AO251" t="s">
        <v>672</v>
      </c>
      <c r="AP251">
        <v>0</v>
      </c>
      <c r="AQ251">
        <v>0</v>
      </c>
      <c r="AR251" t="s">
        <v>672</v>
      </c>
      <c r="AS251">
        <v>1</v>
      </c>
      <c r="AT251">
        <v>2</v>
      </c>
    </row>
    <row r="252" spans="1:46">
      <c r="A252" t="s">
        <v>334</v>
      </c>
      <c r="B252">
        <v>256</v>
      </c>
      <c r="C252" t="s">
        <v>1763</v>
      </c>
      <c r="D252">
        <v>76</v>
      </c>
      <c r="E252" t="s">
        <v>2270</v>
      </c>
      <c r="F252" t="s">
        <v>2127</v>
      </c>
      <c r="G252" t="s">
        <v>1767</v>
      </c>
      <c r="H252" t="s">
        <v>1768</v>
      </c>
      <c r="I252" t="s">
        <v>1766</v>
      </c>
      <c r="J252" t="s">
        <v>704</v>
      </c>
      <c r="K252" t="s">
        <v>677</v>
      </c>
      <c r="L252" t="s">
        <v>1769</v>
      </c>
      <c r="M252" t="s">
        <v>1770</v>
      </c>
      <c r="N252">
        <v>127</v>
      </c>
      <c r="O252" t="s">
        <v>1222</v>
      </c>
      <c r="P252" t="s">
        <v>1386</v>
      </c>
      <c r="Q252" s="2">
        <v>1000000</v>
      </c>
      <c r="R252" t="s">
        <v>681</v>
      </c>
      <c r="S252">
        <v>708423838</v>
      </c>
      <c r="T252">
        <v>54</v>
      </c>
      <c r="U252" t="s">
        <v>1111</v>
      </c>
      <c r="V252" t="s">
        <v>1764</v>
      </c>
      <c r="W252" t="s">
        <v>1765</v>
      </c>
      <c r="X252" t="s">
        <v>788</v>
      </c>
      <c r="Y252" t="s">
        <v>681</v>
      </c>
      <c r="Z252" s="1">
        <v>44592</v>
      </c>
      <c r="AA252">
        <v>1</v>
      </c>
      <c r="AB252" t="s">
        <v>672</v>
      </c>
      <c r="AC252" t="s">
        <v>672</v>
      </c>
      <c r="AG252">
        <v>0</v>
      </c>
      <c r="AL252">
        <v>0</v>
      </c>
      <c r="AM252" t="s">
        <v>672</v>
      </c>
      <c r="AN252" t="s">
        <v>672</v>
      </c>
      <c r="AO252" t="s">
        <v>672</v>
      </c>
      <c r="AP252">
        <v>0</v>
      </c>
      <c r="AQ252">
        <v>0</v>
      </c>
      <c r="AR252" t="s">
        <v>672</v>
      </c>
      <c r="AS252">
        <v>1</v>
      </c>
      <c r="AT252">
        <v>2</v>
      </c>
    </row>
    <row r="253" spans="1:46">
      <c r="A253" t="s">
        <v>568</v>
      </c>
      <c r="B253">
        <v>257</v>
      </c>
      <c r="C253" t="s">
        <v>569</v>
      </c>
      <c r="D253">
        <v>77</v>
      </c>
      <c r="E253" t="s">
        <v>2271</v>
      </c>
      <c r="F253" t="s">
        <v>2127</v>
      </c>
      <c r="G253" t="s">
        <v>1773</v>
      </c>
      <c r="H253" t="s">
        <v>1774</v>
      </c>
      <c r="J253" t="s">
        <v>704</v>
      </c>
      <c r="K253" t="s">
        <v>712</v>
      </c>
      <c r="L253" t="s">
        <v>1775</v>
      </c>
      <c r="M253" t="s">
        <v>1770</v>
      </c>
      <c r="N253">
        <v>147</v>
      </c>
      <c r="O253" t="s">
        <v>1222</v>
      </c>
      <c r="P253" t="s">
        <v>1776</v>
      </c>
      <c r="Q253" s="2">
        <v>1000000</v>
      </c>
      <c r="R253" t="s">
        <v>681</v>
      </c>
      <c r="S253">
        <v>708473838</v>
      </c>
      <c r="T253">
        <v>54</v>
      </c>
      <c r="U253" t="s">
        <v>1111</v>
      </c>
      <c r="V253" t="s">
        <v>1771</v>
      </c>
      <c r="W253" t="s">
        <v>1772</v>
      </c>
      <c r="X253" t="s">
        <v>788</v>
      </c>
      <c r="Y253" t="s">
        <v>681</v>
      </c>
      <c r="Z253" s="1">
        <v>44589</v>
      </c>
      <c r="AA253">
        <v>1</v>
      </c>
      <c r="AB253" t="s">
        <v>672</v>
      </c>
      <c r="AC253" t="s">
        <v>672</v>
      </c>
      <c r="AG253">
        <v>0</v>
      </c>
      <c r="AL253">
        <v>0</v>
      </c>
      <c r="AM253" t="s">
        <v>672</v>
      </c>
      <c r="AN253" t="s">
        <v>672</v>
      </c>
      <c r="AO253" t="s">
        <v>672</v>
      </c>
      <c r="AP253">
        <v>0</v>
      </c>
      <c r="AQ253">
        <v>0</v>
      </c>
      <c r="AR253" t="s">
        <v>672</v>
      </c>
      <c r="AS253">
        <v>1</v>
      </c>
      <c r="AT253">
        <v>2</v>
      </c>
    </row>
    <row r="254" spans="1:46">
      <c r="A254" t="s">
        <v>518</v>
      </c>
      <c r="B254">
        <v>258</v>
      </c>
      <c r="C254" t="s">
        <v>1777</v>
      </c>
      <c r="D254">
        <v>80</v>
      </c>
      <c r="E254" t="s">
        <v>2272</v>
      </c>
      <c r="F254" t="s">
        <v>2139</v>
      </c>
      <c r="G254" t="s">
        <v>1780</v>
      </c>
      <c r="H254" t="s">
        <v>1781</v>
      </c>
      <c r="I254" t="s">
        <v>1779</v>
      </c>
      <c r="J254" t="s">
        <v>704</v>
      </c>
      <c r="K254" t="s">
        <v>677</v>
      </c>
      <c r="L254" t="s">
        <v>1782</v>
      </c>
      <c r="M254" t="s">
        <v>1783</v>
      </c>
      <c r="N254">
        <v>382</v>
      </c>
      <c r="O254" t="s">
        <v>1222</v>
      </c>
      <c r="P254" t="s">
        <v>1784</v>
      </c>
      <c r="Q254" s="2">
        <v>1000000</v>
      </c>
      <c r="R254" t="s">
        <v>681</v>
      </c>
      <c r="S254">
        <v>707742222</v>
      </c>
      <c r="T254">
        <v>54</v>
      </c>
      <c r="U254" t="s">
        <v>1111</v>
      </c>
      <c r="V254" t="s">
        <v>1778</v>
      </c>
      <c r="W254" t="s">
        <v>681</v>
      </c>
      <c r="X254" t="s">
        <v>788</v>
      </c>
      <c r="Y254" t="s">
        <v>681</v>
      </c>
      <c r="Z254" s="1">
        <v>44589</v>
      </c>
      <c r="AA254">
        <v>1</v>
      </c>
      <c r="AB254" t="s">
        <v>672</v>
      </c>
      <c r="AC254" t="s">
        <v>672</v>
      </c>
      <c r="AG254">
        <v>0</v>
      </c>
      <c r="AL254">
        <v>0</v>
      </c>
      <c r="AM254" t="s">
        <v>672</v>
      </c>
      <c r="AN254" t="s">
        <v>672</v>
      </c>
      <c r="AO254" t="s">
        <v>672</v>
      </c>
      <c r="AP254">
        <v>0</v>
      </c>
      <c r="AQ254">
        <v>0</v>
      </c>
      <c r="AR254" t="s">
        <v>672</v>
      </c>
      <c r="AS254">
        <v>1</v>
      </c>
      <c r="AT254">
        <v>2</v>
      </c>
    </row>
    <row r="255" spans="1:46">
      <c r="A255" t="s">
        <v>76</v>
      </c>
      <c r="B255">
        <v>259</v>
      </c>
      <c r="C255" t="s">
        <v>77</v>
      </c>
      <c r="D255">
        <v>79</v>
      </c>
      <c r="E255" t="s">
        <v>2273</v>
      </c>
      <c r="F255" t="s">
        <v>882</v>
      </c>
      <c r="G255" t="s">
        <v>1789</v>
      </c>
      <c r="H255" t="s">
        <v>1790</v>
      </c>
      <c r="I255" t="s">
        <v>1787</v>
      </c>
      <c r="J255" t="s">
        <v>704</v>
      </c>
      <c r="K255" t="s">
        <v>677</v>
      </c>
      <c r="L255" t="s">
        <v>1791</v>
      </c>
      <c r="O255" t="s">
        <v>750</v>
      </c>
      <c r="P255" t="s">
        <v>889</v>
      </c>
      <c r="Q255">
        <v>1000000</v>
      </c>
      <c r="R255" t="s">
        <v>1788</v>
      </c>
      <c r="S255">
        <v>707336407</v>
      </c>
      <c r="T255">
        <v>54</v>
      </c>
      <c r="U255" t="s">
        <v>1111</v>
      </c>
      <c r="V255" t="s">
        <v>1786</v>
      </c>
      <c r="X255" t="s">
        <v>1785</v>
      </c>
      <c r="Z255" s="1">
        <v>45321</v>
      </c>
      <c r="AA255">
        <v>1</v>
      </c>
      <c r="AB255" t="s">
        <v>672</v>
      </c>
      <c r="AC255" t="s">
        <v>672</v>
      </c>
      <c r="AG255">
        <v>0</v>
      </c>
      <c r="AL255">
        <v>0</v>
      </c>
      <c r="AM255" t="s">
        <v>672</v>
      </c>
      <c r="AN255" t="s">
        <v>672</v>
      </c>
      <c r="AO255" t="s">
        <v>672</v>
      </c>
      <c r="AP255">
        <v>0</v>
      </c>
      <c r="AQ255">
        <v>0</v>
      </c>
      <c r="AR255" t="s">
        <v>672</v>
      </c>
      <c r="AS255">
        <v>1</v>
      </c>
      <c r="AT255">
        <v>4</v>
      </c>
    </row>
    <row r="256" spans="1:46">
      <c r="A256" t="s">
        <v>48</v>
      </c>
      <c r="B256">
        <v>260</v>
      </c>
      <c r="C256" t="s">
        <v>49</v>
      </c>
      <c r="D256">
        <v>78</v>
      </c>
      <c r="E256" t="s">
        <v>2274</v>
      </c>
      <c r="F256" t="s">
        <v>2275</v>
      </c>
      <c r="G256" t="s">
        <v>1780</v>
      </c>
      <c r="H256" t="s">
        <v>1796</v>
      </c>
      <c r="I256" t="s">
        <v>1795</v>
      </c>
      <c r="J256" t="s">
        <v>704</v>
      </c>
      <c r="K256" t="s">
        <v>712</v>
      </c>
      <c r="L256" t="s">
        <v>1797</v>
      </c>
      <c r="M256" t="s">
        <v>1794</v>
      </c>
      <c r="N256" t="s">
        <v>1794</v>
      </c>
      <c r="O256" t="s">
        <v>1222</v>
      </c>
      <c r="P256" t="s">
        <v>879</v>
      </c>
      <c r="Q256" s="2">
        <v>1000000</v>
      </c>
      <c r="R256" t="s">
        <v>1794</v>
      </c>
      <c r="S256">
        <v>749933263</v>
      </c>
      <c r="T256">
        <v>54</v>
      </c>
      <c r="U256" t="s">
        <v>1416</v>
      </c>
      <c r="V256" t="s">
        <v>1793</v>
      </c>
      <c r="W256" t="s">
        <v>1794</v>
      </c>
      <c r="X256" t="s">
        <v>1792</v>
      </c>
    </row>
    <row r="257" spans="1:46">
      <c r="A257" t="s">
        <v>1802</v>
      </c>
      <c r="B257">
        <v>261</v>
      </c>
      <c r="C257" t="s">
        <v>1798</v>
      </c>
      <c r="D257">
        <v>81</v>
      </c>
      <c r="E257" t="s">
        <v>2276</v>
      </c>
      <c r="F257" t="s">
        <v>882</v>
      </c>
      <c r="G257" t="s">
        <v>1804</v>
      </c>
      <c r="H257" t="s">
        <v>1805</v>
      </c>
      <c r="I257" t="s">
        <v>1801</v>
      </c>
      <c r="J257" t="s">
        <v>704</v>
      </c>
      <c r="K257" t="s">
        <v>712</v>
      </c>
      <c r="L257" t="s">
        <v>1806</v>
      </c>
      <c r="O257" t="s">
        <v>834</v>
      </c>
      <c r="Q257">
        <v>1000000</v>
      </c>
      <c r="R257" t="s">
        <v>1803</v>
      </c>
      <c r="S257">
        <v>556628671</v>
      </c>
      <c r="T257">
        <v>54</v>
      </c>
      <c r="U257" t="s">
        <v>1111</v>
      </c>
      <c r="V257" t="s">
        <v>1800</v>
      </c>
      <c r="X257" t="s">
        <v>1799</v>
      </c>
      <c r="Z257" s="1">
        <v>45321</v>
      </c>
      <c r="AA257">
        <v>1</v>
      </c>
      <c r="AB257" t="s">
        <v>672</v>
      </c>
      <c r="AC257" t="s">
        <v>672</v>
      </c>
      <c r="AG257">
        <v>0</v>
      </c>
      <c r="AL257">
        <v>0</v>
      </c>
      <c r="AM257" t="s">
        <v>672</v>
      </c>
      <c r="AN257" t="s">
        <v>672</v>
      </c>
      <c r="AO257" t="s">
        <v>672</v>
      </c>
      <c r="AP257">
        <v>0</v>
      </c>
      <c r="AQ257">
        <v>0</v>
      </c>
      <c r="AR257" t="s">
        <v>672</v>
      </c>
      <c r="AS257">
        <v>1</v>
      </c>
      <c r="AT257">
        <v>4</v>
      </c>
    </row>
    <row r="258" spans="1:46">
      <c r="A258" t="s">
        <v>44</v>
      </c>
      <c r="B258">
        <v>262</v>
      </c>
      <c r="C258" t="s">
        <v>1807</v>
      </c>
      <c r="D258">
        <v>81</v>
      </c>
      <c r="E258" t="s">
        <v>2277</v>
      </c>
      <c r="F258" t="s">
        <v>882</v>
      </c>
      <c r="G258" t="s">
        <v>1811</v>
      </c>
      <c r="H258" t="s">
        <v>1812</v>
      </c>
      <c r="I258" t="s">
        <v>1809</v>
      </c>
      <c r="J258" t="s">
        <v>704</v>
      </c>
      <c r="K258" t="s">
        <v>677</v>
      </c>
      <c r="L258" t="s">
        <v>1813</v>
      </c>
      <c r="O258" t="s">
        <v>1222</v>
      </c>
      <c r="P258" t="s">
        <v>1814</v>
      </c>
      <c r="Q258">
        <v>1000000</v>
      </c>
      <c r="R258" t="s">
        <v>1810</v>
      </c>
      <c r="S258">
        <v>757417993</v>
      </c>
      <c r="T258">
        <v>54</v>
      </c>
      <c r="U258" t="s">
        <v>1111</v>
      </c>
      <c r="X258" t="s">
        <v>1808</v>
      </c>
      <c r="Z258" s="1">
        <v>45321</v>
      </c>
      <c r="AA258">
        <v>1</v>
      </c>
      <c r="AB258" t="s">
        <v>672</v>
      </c>
      <c r="AC258" t="s">
        <v>672</v>
      </c>
      <c r="AG258">
        <v>0</v>
      </c>
      <c r="AL258">
        <v>0</v>
      </c>
      <c r="AM258" t="s">
        <v>672</v>
      </c>
      <c r="AN258" t="s">
        <v>672</v>
      </c>
      <c r="AO258" t="s">
        <v>672</v>
      </c>
      <c r="AP258">
        <v>0</v>
      </c>
      <c r="AQ258">
        <v>0</v>
      </c>
      <c r="AR258" t="s">
        <v>672</v>
      </c>
      <c r="AS258">
        <v>1</v>
      </c>
      <c r="AT258">
        <v>4</v>
      </c>
    </row>
    <row r="259" spans="1:46">
      <c r="A259" t="s">
        <v>444</v>
      </c>
      <c r="B259">
        <v>263</v>
      </c>
      <c r="C259" t="s">
        <v>445</v>
      </c>
      <c r="D259">
        <v>82</v>
      </c>
      <c r="E259" t="s">
        <v>2278</v>
      </c>
      <c r="F259" t="s">
        <v>1361</v>
      </c>
      <c r="G259" t="s">
        <v>1817</v>
      </c>
      <c r="H259" t="s">
        <v>1818</v>
      </c>
      <c r="I259" t="s">
        <v>1816</v>
      </c>
      <c r="J259" t="s">
        <v>704</v>
      </c>
      <c r="K259" t="s">
        <v>677</v>
      </c>
      <c r="L259" t="s">
        <v>1819</v>
      </c>
      <c r="M259" t="s">
        <v>1820</v>
      </c>
      <c r="N259">
        <v>270</v>
      </c>
      <c r="O259" t="s">
        <v>942</v>
      </c>
      <c r="P259" t="s">
        <v>1821</v>
      </c>
      <c r="Q259">
        <v>1000000</v>
      </c>
      <c r="S259">
        <v>708075219</v>
      </c>
      <c r="T259">
        <v>54</v>
      </c>
      <c r="U259" t="s">
        <v>1111</v>
      </c>
      <c r="V259" t="s">
        <v>1815</v>
      </c>
      <c r="X259" t="s">
        <v>959</v>
      </c>
      <c r="Z259" s="1">
        <v>45321</v>
      </c>
      <c r="AA259">
        <v>1</v>
      </c>
      <c r="AB259" t="s">
        <v>672</v>
      </c>
      <c r="AC259" t="s">
        <v>672</v>
      </c>
      <c r="AG259">
        <v>0</v>
      </c>
      <c r="AL259">
        <v>0</v>
      </c>
      <c r="AM259" t="s">
        <v>672</v>
      </c>
      <c r="AN259" t="s">
        <v>672</v>
      </c>
      <c r="AO259" t="s">
        <v>672</v>
      </c>
      <c r="AP259">
        <v>0</v>
      </c>
      <c r="AQ259">
        <v>0</v>
      </c>
      <c r="AR259" t="s">
        <v>672</v>
      </c>
      <c r="AS259">
        <v>1</v>
      </c>
      <c r="AT259">
        <v>4</v>
      </c>
    </row>
    <row r="260" spans="1:46">
      <c r="A260" t="s">
        <v>480</v>
      </c>
      <c r="B260">
        <v>264</v>
      </c>
      <c r="C260" t="s">
        <v>1822</v>
      </c>
      <c r="D260">
        <v>84</v>
      </c>
      <c r="E260" t="s">
        <v>1822</v>
      </c>
      <c r="F260" t="s">
        <v>1388</v>
      </c>
      <c r="G260" t="s">
        <v>1825</v>
      </c>
      <c r="H260" t="s">
        <v>1826</v>
      </c>
      <c r="I260" t="s">
        <v>1824</v>
      </c>
      <c r="J260" t="s">
        <v>676</v>
      </c>
      <c r="K260" t="s">
        <v>677</v>
      </c>
      <c r="L260" t="s">
        <v>1827</v>
      </c>
      <c r="O260" t="s">
        <v>942</v>
      </c>
      <c r="S260">
        <v>707812605</v>
      </c>
      <c r="T260">
        <v>54</v>
      </c>
      <c r="U260" t="s">
        <v>1111</v>
      </c>
      <c r="X260" t="s">
        <v>1823</v>
      </c>
      <c r="Z260" s="1">
        <v>45321</v>
      </c>
      <c r="AA260">
        <v>1</v>
      </c>
      <c r="AB260" t="s">
        <v>672</v>
      </c>
      <c r="AC260" t="s">
        <v>672</v>
      </c>
      <c r="AG260">
        <v>0</v>
      </c>
      <c r="AL260">
        <v>0</v>
      </c>
      <c r="AM260" t="s">
        <v>672</v>
      </c>
      <c r="AN260" t="s">
        <v>672</v>
      </c>
      <c r="AO260" t="s">
        <v>672</v>
      </c>
      <c r="AP260">
        <v>0</v>
      </c>
      <c r="AQ260">
        <v>0</v>
      </c>
      <c r="AR260" t="s">
        <v>672</v>
      </c>
      <c r="AS260">
        <v>1</v>
      </c>
      <c r="AT260">
        <v>4</v>
      </c>
    </row>
    <row r="261" spans="1:46">
      <c r="A261" t="s">
        <v>142</v>
      </c>
      <c r="B261">
        <v>265</v>
      </c>
      <c r="C261" t="s">
        <v>143</v>
      </c>
      <c r="D261">
        <v>75</v>
      </c>
      <c r="E261" t="s">
        <v>143</v>
      </c>
      <c r="F261" t="s">
        <v>1678</v>
      </c>
      <c r="G261" t="s">
        <v>1830</v>
      </c>
      <c r="H261" t="s">
        <v>1831</v>
      </c>
      <c r="I261" t="s">
        <v>1829</v>
      </c>
      <c r="J261" t="s">
        <v>676</v>
      </c>
      <c r="K261" t="s">
        <v>677</v>
      </c>
      <c r="L261" t="s">
        <v>1832</v>
      </c>
      <c r="O261" t="s">
        <v>942</v>
      </c>
      <c r="P261" t="s">
        <v>1833</v>
      </c>
      <c r="S261">
        <v>709595813</v>
      </c>
      <c r="T261">
        <v>54</v>
      </c>
      <c r="U261" t="s">
        <v>1111</v>
      </c>
      <c r="X261" t="s">
        <v>1828</v>
      </c>
      <c r="Z261" s="1">
        <v>45321</v>
      </c>
      <c r="AA261">
        <v>1</v>
      </c>
      <c r="AB261" t="s">
        <v>672</v>
      </c>
      <c r="AC261" t="s">
        <v>672</v>
      </c>
      <c r="AG261">
        <v>0</v>
      </c>
      <c r="AL261">
        <v>0</v>
      </c>
      <c r="AM261" t="s">
        <v>672</v>
      </c>
      <c r="AN261" t="s">
        <v>672</v>
      </c>
      <c r="AO261" t="s">
        <v>672</v>
      </c>
      <c r="AP261">
        <v>0</v>
      </c>
      <c r="AQ261">
        <v>0</v>
      </c>
      <c r="AR261" t="s">
        <v>672</v>
      </c>
      <c r="AS261">
        <v>1</v>
      </c>
      <c r="AT261">
        <v>4</v>
      </c>
    </row>
    <row r="262" spans="1:46">
      <c r="A262" t="s">
        <v>1835</v>
      </c>
      <c r="B262">
        <v>266</v>
      </c>
      <c r="C262" t="s">
        <v>109</v>
      </c>
      <c r="D262">
        <v>95</v>
      </c>
      <c r="E262" t="s">
        <v>109</v>
      </c>
      <c r="G262" t="s">
        <v>1836</v>
      </c>
      <c r="H262" t="s">
        <v>1837</v>
      </c>
      <c r="I262" t="s">
        <v>1834</v>
      </c>
      <c r="J262" t="s">
        <v>676</v>
      </c>
      <c r="K262" t="s">
        <v>677</v>
      </c>
      <c r="L262" t="s">
        <v>1838</v>
      </c>
      <c r="O262" t="s">
        <v>687</v>
      </c>
      <c r="S262">
        <v>707824020</v>
      </c>
      <c r="T262">
        <v>54</v>
      </c>
      <c r="U262" t="s">
        <v>1111</v>
      </c>
      <c r="X262" t="s">
        <v>959</v>
      </c>
      <c r="Z262" s="1">
        <v>45321</v>
      </c>
      <c r="AA262">
        <v>1</v>
      </c>
      <c r="AB262" t="s">
        <v>672</v>
      </c>
      <c r="AC262" t="s">
        <v>672</v>
      </c>
      <c r="AG262">
        <v>0</v>
      </c>
      <c r="AL262">
        <v>0</v>
      </c>
      <c r="AM262" t="s">
        <v>672</v>
      </c>
      <c r="AN262" t="s">
        <v>672</v>
      </c>
      <c r="AO262" t="s">
        <v>672</v>
      </c>
      <c r="AP262">
        <v>0</v>
      </c>
      <c r="AQ262">
        <v>0</v>
      </c>
      <c r="AR262" t="s">
        <v>672</v>
      </c>
      <c r="AS262">
        <v>1</v>
      </c>
      <c r="AT262">
        <v>4</v>
      </c>
    </row>
    <row r="263" spans="1:46">
      <c r="A263" t="s">
        <v>154</v>
      </c>
      <c r="B263">
        <v>267</v>
      </c>
      <c r="C263" t="s">
        <v>2279</v>
      </c>
      <c r="D263">
        <v>76</v>
      </c>
      <c r="E263" t="s">
        <v>2280</v>
      </c>
      <c r="F263" t="s">
        <v>1440</v>
      </c>
      <c r="G263" t="s">
        <v>1843</v>
      </c>
      <c r="H263" t="s">
        <v>1844</v>
      </c>
      <c r="I263" t="s">
        <v>1842</v>
      </c>
      <c r="J263" t="s">
        <v>704</v>
      </c>
      <c r="K263" t="s">
        <v>677</v>
      </c>
      <c r="L263" t="s">
        <v>1845</v>
      </c>
      <c r="M263" t="s">
        <v>1794</v>
      </c>
      <c r="N263" t="s">
        <v>1794</v>
      </c>
      <c r="O263" t="s">
        <v>750</v>
      </c>
      <c r="P263" t="s">
        <v>1846</v>
      </c>
      <c r="Q263" s="2">
        <v>1000000</v>
      </c>
      <c r="R263" t="s">
        <v>1794</v>
      </c>
      <c r="S263">
        <v>707008495</v>
      </c>
      <c r="T263">
        <v>54</v>
      </c>
      <c r="U263" t="s">
        <v>959</v>
      </c>
      <c r="V263" t="s">
        <v>1840</v>
      </c>
      <c r="W263" t="s">
        <v>1841</v>
      </c>
      <c r="X263" t="s">
        <v>1839</v>
      </c>
      <c r="Y263" t="s">
        <v>1794</v>
      </c>
      <c r="Z263" s="1">
        <v>45321</v>
      </c>
      <c r="AA263">
        <v>1</v>
      </c>
      <c r="AB263" t="s">
        <v>672</v>
      </c>
      <c r="AC263" t="s">
        <v>672</v>
      </c>
      <c r="AG263">
        <v>0</v>
      </c>
      <c r="AL263">
        <v>0</v>
      </c>
      <c r="AM263" t="s">
        <v>672</v>
      </c>
      <c r="AN263" t="s">
        <v>672</v>
      </c>
      <c r="AO263" t="s">
        <v>672</v>
      </c>
      <c r="AP263">
        <v>0</v>
      </c>
      <c r="AQ263">
        <v>0</v>
      </c>
      <c r="AR263" t="s">
        <v>672</v>
      </c>
      <c r="AS263">
        <v>1</v>
      </c>
      <c r="AT263">
        <v>2</v>
      </c>
    </row>
    <row r="264" spans="1:46">
      <c r="A264" t="s">
        <v>604</v>
      </c>
      <c r="B264">
        <v>268</v>
      </c>
      <c r="C264" t="s">
        <v>1847</v>
      </c>
      <c r="D264">
        <v>76</v>
      </c>
      <c r="E264" t="s">
        <v>2281</v>
      </c>
      <c r="F264" t="s">
        <v>2127</v>
      </c>
      <c r="G264" t="s">
        <v>1843</v>
      </c>
      <c r="H264" t="s">
        <v>1851</v>
      </c>
      <c r="I264" t="s">
        <v>1850</v>
      </c>
      <c r="J264" t="s">
        <v>704</v>
      </c>
      <c r="K264" t="s">
        <v>677</v>
      </c>
      <c r="L264" t="s">
        <v>1852</v>
      </c>
      <c r="M264" t="s">
        <v>681</v>
      </c>
      <c r="N264" t="s">
        <v>681</v>
      </c>
      <c r="O264" t="s">
        <v>942</v>
      </c>
      <c r="P264" t="s">
        <v>681</v>
      </c>
      <c r="Q264" s="2">
        <v>5000000</v>
      </c>
      <c r="R264" t="s">
        <v>681</v>
      </c>
      <c r="S264">
        <v>788851789</v>
      </c>
      <c r="T264">
        <v>54</v>
      </c>
      <c r="U264" t="s">
        <v>1111</v>
      </c>
      <c r="V264" t="s">
        <v>1849</v>
      </c>
      <c r="W264" t="s">
        <v>681</v>
      </c>
      <c r="X264" t="s">
        <v>2282</v>
      </c>
      <c r="Y264" t="s">
        <v>681</v>
      </c>
      <c r="Z264" s="1">
        <v>45321</v>
      </c>
      <c r="AA264">
        <v>1</v>
      </c>
      <c r="AB264" t="s">
        <v>672</v>
      </c>
      <c r="AC264" t="s">
        <v>672</v>
      </c>
      <c r="AG264">
        <v>0</v>
      </c>
      <c r="AL264">
        <v>0</v>
      </c>
      <c r="AM264" t="s">
        <v>672</v>
      </c>
      <c r="AN264" t="s">
        <v>672</v>
      </c>
      <c r="AO264" t="s">
        <v>672</v>
      </c>
      <c r="AP264">
        <v>0</v>
      </c>
      <c r="AQ264">
        <v>0</v>
      </c>
      <c r="AR264" t="s">
        <v>672</v>
      </c>
      <c r="AS264">
        <v>1</v>
      </c>
      <c r="AT264">
        <v>2</v>
      </c>
    </row>
    <row r="265" spans="1:46">
      <c r="A265" t="s">
        <v>2</v>
      </c>
      <c r="B265">
        <v>269</v>
      </c>
      <c r="C265" t="s">
        <v>3</v>
      </c>
      <c r="D265">
        <v>78</v>
      </c>
      <c r="E265" t="s">
        <v>2283</v>
      </c>
      <c r="F265" t="s">
        <v>2139</v>
      </c>
      <c r="G265" t="s">
        <v>1857</v>
      </c>
      <c r="H265" t="s">
        <v>1858</v>
      </c>
      <c r="I265" t="s">
        <v>1855</v>
      </c>
      <c r="J265" t="s">
        <v>704</v>
      </c>
      <c r="K265" t="s">
        <v>677</v>
      </c>
      <c r="L265" t="s">
        <v>1859</v>
      </c>
      <c r="M265" t="s">
        <v>681</v>
      </c>
      <c r="N265" t="s">
        <v>681</v>
      </c>
      <c r="O265" t="s">
        <v>750</v>
      </c>
      <c r="P265" t="s">
        <v>1860</v>
      </c>
      <c r="Q265" s="2">
        <v>1000000</v>
      </c>
      <c r="R265" t="s">
        <v>1856</v>
      </c>
      <c r="S265" t="s">
        <v>2284</v>
      </c>
      <c r="T265">
        <v>54</v>
      </c>
      <c r="U265" t="s">
        <v>1111</v>
      </c>
      <c r="V265" t="s">
        <v>1854</v>
      </c>
      <c r="W265" t="s">
        <v>681</v>
      </c>
      <c r="X265" t="s">
        <v>1853</v>
      </c>
      <c r="Y265" t="s">
        <v>681</v>
      </c>
      <c r="Z265" s="1">
        <v>45321</v>
      </c>
      <c r="AA265">
        <v>1</v>
      </c>
      <c r="AB265" t="s">
        <v>672</v>
      </c>
      <c r="AC265" t="s">
        <v>672</v>
      </c>
      <c r="AG265">
        <v>0</v>
      </c>
      <c r="AL265">
        <v>0</v>
      </c>
      <c r="AM265" t="s">
        <v>672</v>
      </c>
      <c r="AN265" t="s">
        <v>672</v>
      </c>
      <c r="AO265" t="s">
        <v>672</v>
      </c>
      <c r="AP265">
        <v>0</v>
      </c>
      <c r="AQ265">
        <v>0</v>
      </c>
      <c r="AR265" t="s">
        <v>672</v>
      </c>
      <c r="AS265">
        <v>1</v>
      </c>
      <c r="AT265">
        <v>2</v>
      </c>
    </row>
    <row r="266" spans="1:46">
      <c r="A266" t="s">
        <v>572</v>
      </c>
      <c r="B266">
        <v>271</v>
      </c>
      <c r="C266" t="s">
        <v>2285</v>
      </c>
      <c r="D266">
        <v>76</v>
      </c>
      <c r="E266" t="s">
        <v>2285</v>
      </c>
      <c r="F266" t="s">
        <v>1861</v>
      </c>
      <c r="G266" t="s">
        <v>1857</v>
      </c>
      <c r="H266" t="s">
        <v>1865</v>
      </c>
      <c r="I266" t="s">
        <v>1864</v>
      </c>
      <c r="J266" t="s">
        <v>676</v>
      </c>
      <c r="K266" t="s">
        <v>677</v>
      </c>
      <c r="L266" t="s">
        <v>1866</v>
      </c>
      <c r="M266" t="s">
        <v>1867</v>
      </c>
      <c r="N266" t="s">
        <v>1868</v>
      </c>
      <c r="O266" t="s">
        <v>1869</v>
      </c>
      <c r="P266" t="s">
        <v>1870</v>
      </c>
      <c r="Q266" s="2">
        <v>1000000</v>
      </c>
      <c r="R266" t="s">
        <v>681</v>
      </c>
      <c r="S266">
        <v>2722438248</v>
      </c>
      <c r="T266">
        <v>54</v>
      </c>
      <c r="U266" t="s">
        <v>1416</v>
      </c>
      <c r="V266" t="s">
        <v>1862</v>
      </c>
      <c r="W266" t="s">
        <v>1863</v>
      </c>
      <c r="X266" t="s">
        <v>1862</v>
      </c>
      <c r="Y266" t="s">
        <v>681</v>
      </c>
      <c r="Z266" s="1">
        <v>44224</v>
      </c>
      <c r="AA266">
        <v>1</v>
      </c>
      <c r="AB266" t="s">
        <v>672</v>
      </c>
      <c r="AC266" t="s">
        <v>672</v>
      </c>
      <c r="AG266">
        <v>0</v>
      </c>
      <c r="AL266">
        <v>0</v>
      </c>
      <c r="AM266" t="s">
        <v>672</v>
      </c>
      <c r="AN266" t="s">
        <v>672</v>
      </c>
      <c r="AO266" t="s">
        <v>672</v>
      </c>
      <c r="AP266">
        <v>0</v>
      </c>
      <c r="AQ266">
        <v>0</v>
      </c>
      <c r="AR266" t="s">
        <v>672</v>
      </c>
      <c r="AS266">
        <v>1</v>
      </c>
      <c r="AT266">
        <v>2</v>
      </c>
    </row>
    <row r="267" spans="1:46">
      <c r="A267" t="s">
        <v>1874</v>
      </c>
      <c r="B267">
        <v>272</v>
      </c>
      <c r="C267" t="s">
        <v>2286</v>
      </c>
      <c r="D267">
        <v>79</v>
      </c>
      <c r="E267" t="s">
        <v>2286</v>
      </c>
      <c r="F267" t="s">
        <v>1872</v>
      </c>
      <c r="G267" t="s">
        <v>1875</v>
      </c>
      <c r="H267" t="s">
        <v>1876</v>
      </c>
      <c r="I267" t="s">
        <v>1873</v>
      </c>
      <c r="J267" t="s">
        <v>704</v>
      </c>
      <c r="K267" t="s">
        <v>677</v>
      </c>
      <c r="L267" t="s">
        <v>1877</v>
      </c>
      <c r="M267" t="s">
        <v>1878</v>
      </c>
      <c r="N267">
        <v>191</v>
      </c>
      <c r="O267" t="s">
        <v>746</v>
      </c>
      <c r="P267" t="s">
        <v>681</v>
      </c>
      <c r="Q267" t="s">
        <v>681</v>
      </c>
      <c r="R267" t="s">
        <v>681</v>
      </c>
      <c r="S267" t="s">
        <v>2287</v>
      </c>
      <c r="T267">
        <v>54</v>
      </c>
      <c r="U267" t="s">
        <v>1416</v>
      </c>
      <c r="V267" t="s">
        <v>681</v>
      </c>
      <c r="W267" t="s">
        <v>681</v>
      </c>
      <c r="X267" t="s">
        <v>1871</v>
      </c>
      <c r="Y267" t="s">
        <v>681</v>
      </c>
      <c r="Z267" s="1">
        <v>43859</v>
      </c>
      <c r="AA267">
        <v>1</v>
      </c>
      <c r="AB267" t="s">
        <v>672</v>
      </c>
      <c r="AC267" t="s">
        <v>672</v>
      </c>
      <c r="AG267">
        <v>0</v>
      </c>
      <c r="AL267">
        <v>0</v>
      </c>
      <c r="AM267" t="s">
        <v>672</v>
      </c>
      <c r="AN267" t="s">
        <v>672</v>
      </c>
      <c r="AO267" t="s">
        <v>672</v>
      </c>
      <c r="AP267">
        <v>0</v>
      </c>
      <c r="AQ267">
        <v>0</v>
      </c>
      <c r="AR267" t="s">
        <v>672</v>
      </c>
      <c r="AS267">
        <v>1</v>
      </c>
      <c r="AT267">
        <v>2</v>
      </c>
    </row>
    <row r="268" spans="1:46">
      <c r="A268" t="s">
        <v>338</v>
      </c>
      <c r="B268">
        <v>273</v>
      </c>
      <c r="C268" t="s">
        <v>1879</v>
      </c>
      <c r="D268">
        <v>76</v>
      </c>
      <c r="E268" t="s">
        <v>2288</v>
      </c>
      <c r="F268" t="s">
        <v>2139</v>
      </c>
      <c r="G268" t="s">
        <v>1883</v>
      </c>
      <c r="H268" t="s">
        <v>1884</v>
      </c>
      <c r="I268" t="s">
        <v>1882</v>
      </c>
      <c r="J268" t="s">
        <v>704</v>
      </c>
      <c r="K268" t="s">
        <v>712</v>
      </c>
      <c r="L268" t="s">
        <v>1885</v>
      </c>
      <c r="M268" t="s">
        <v>1886</v>
      </c>
      <c r="N268">
        <v>526</v>
      </c>
      <c r="O268" t="s">
        <v>1222</v>
      </c>
      <c r="P268" t="s">
        <v>910</v>
      </c>
      <c r="Q268" s="2">
        <v>10000000</v>
      </c>
      <c r="R268" t="s">
        <v>681</v>
      </c>
      <c r="S268">
        <v>2242322216</v>
      </c>
      <c r="T268">
        <v>54</v>
      </c>
      <c r="U268" t="s">
        <v>1111</v>
      </c>
      <c r="V268" t="s">
        <v>1880</v>
      </c>
      <c r="W268" t="s">
        <v>1881</v>
      </c>
      <c r="X268" t="s">
        <v>788</v>
      </c>
      <c r="Y268" t="s">
        <v>681</v>
      </c>
      <c r="Z268" s="1">
        <v>44224</v>
      </c>
      <c r="AA268">
        <v>1</v>
      </c>
      <c r="AB268" t="s">
        <v>672</v>
      </c>
      <c r="AC268" t="s">
        <v>672</v>
      </c>
      <c r="AG268">
        <v>0</v>
      </c>
      <c r="AL268">
        <v>0</v>
      </c>
      <c r="AM268" t="s">
        <v>672</v>
      </c>
      <c r="AN268" t="s">
        <v>672</v>
      </c>
      <c r="AO268" t="s">
        <v>672</v>
      </c>
      <c r="AP268">
        <v>0</v>
      </c>
      <c r="AQ268">
        <v>0</v>
      </c>
      <c r="AR268" t="s">
        <v>672</v>
      </c>
      <c r="AS268">
        <v>1</v>
      </c>
      <c r="AT268">
        <v>2</v>
      </c>
    </row>
    <row r="269" spans="1:46">
      <c r="A269" t="s">
        <v>628</v>
      </c>
      <c r="B269">
        <v>274</v>
      </c>
      <c r="C269" t="s">
        <v>1887</v>
      </c>
      <c r="D269">
        <v>76</v>
      </c>
      <c r="E269" t="s">
        <v>2289</v>
      </c>
      <c r="F269" t="s">
        <v>882</v>
      </c>
      <c r="G269" t="s">
        <v>1891</v>
      </c>
      <c r="H269" t="s">
        <v>1892</v>
      </c>
      <c r="I269" t="s">
        <v>1890</v>
      </c>
      <c r="J269" t="s">
        <v>704</v>
      </c>
      <c r="K269" t="s">
        <v>712</v>
      </c>
      <c r="L269" t="s">
        <v>1893</v>
      </c>
      <c r="O269" t="s">
        <v>1222</v>
      </c>
      <c r="Q269">
        <v>1000000</v>
      </c>
      <c r="S269">
        <v>748561030</v>
      </c>
      <c r="T269">
        <v>54</v>
      </c>
      <c r="U269" t="s">
        <v>1111</v>
      </c>
      <c r="V269" t="s">
        <v>1889</v>
      </c>
      <c r="X269" t="s">
        <v>1888</v>
      </c>
      <c r="Z269" s="1">
        <v>45322</v>
      </c>
      <c r="AA269">
        <v>1</v>
      </c>
      <c r="AB269" t="s">
        <v>672</v>
      </c>
      <c r="AC269" t="s">
        <v>672</v>
      </c>
      <c r="AG269">
        <v>0</v>
      </c>
      <c r="AL269">
        <v>0</v>
      </c>
      <c r="AM269" t="s">
        <v>672</v>
      </c>
      <c r="AN269" t="s">
        <v>672</v>
      </c>
      <c r="AO269" t="s">
        <v>672</v>
      </c>
      <c r="AP269">
        <v>0</v>
      </c>
      <c r="AQ269">
        <v>0</v>
      </c>
      <c r="AR269" t="s">
        <v>672</v>
      </c>
      <c r="AS269">
        <v>1</v>
      </c>
      <c r="AT269">
        <v>4</v>
      </c>
    </row>
    <row r="270" spans="1:46">
      <c r="A270" t="s">
        <v>490</v>
      </c>
      <c r="B270">
        <v>275</v>
      </c>
      <c r="C270" t="s">
        <v>1894</v>
      </c>
      <c r="D270">
        <v>77</v>
      </c>
      <c r="E270" t="s">
        <v>1894</v>
      </c>
      <c r="F270" t="s">
        <v>2125</v>
      </c>
      <c r="G270" t="s">
        <v>1897</v>
      </c>
      <c r="H270" t="s">
        <v>1018</v>
      </c>
      <c r="I270" t="s">
        <v>1896</v>
      </c>
      <c r="J270" t="s">
        <v>676</v>
      </c>
      <c r="K270" t="s">
        <v>677</v>
      </c>
      <c r="L270" t="s">
        <v>1898</v>
      </c>
      <c r="M270" t="s">
        <v>681</v>
      </c>
      <c r="N270" t="s">
        <v>681</v>
      </c>
      <c r="P270" t="s">
        <v>1369</v>
      </c>
      <c r="Q270" s="2">
        <v>1000000</v>
      </c>
      <c r="R270" t="s">
        <v>681</v>
      </c>
      <c r="S270">
        <v>709131395</v>
      </c>
      <c r="T270">
        <v>54</v>
      </c>
      <c r="U270" t="s">
        <v>959</v>
      </c>
      <c r="W270" t="s">
        <v>681</v>
      </c>
      <c r="X270" t="s">
        <v>1895</v>
      </c>
      <c r="Y270" t="s">
        <v>681</v>
      </c>
      <c r="Z270" s="1">
        <v>44760</v>
      </c>
      <c r="AA270">
        <v>1</v>
      </c>
      <c r="AB270" t="s">
        <v>672</v>
      </c>
      <c r="AC270" t="s">
        <v>672</v>
      </c>
      <c r="AG270">
        <v>0</v>
      </c>
      <c r="AL270">
        <v>0</v>
      </c>
      <c r="AM270" t="s">
        <v>672</v>
      </c>
      <c r="AN270" t="s">
        <v>672</v>
      </c>
      <c r="AO270" t="s">
        <v>672</v>
      </c>
      <c r="AP270">
        <v>0</v>
      </c>
      <c r="AQ270">
        <v>0</v>
      </c>
      <c r="AR270" t="s">
        <v>672</v>
      </c>
      <c r="AS270">
        <v>1</v>
      </c>
      <c r="AT270">
        <v>2</v>
      </c>
    </row>
    <row r="271" spans="1:46">
      <c r="A271" t="s">
        <v>1902</v>
      </c>
      <c r="B271">
        <v>276</v>
      </c>
      <c r="C271" t="s">
        <v>1899</v>
      </c>
      <c r="D271">
        <v>78</v>
      </c>
      <c r="E271" t="s">
        <v>2290</v>
      </c>
      <c r="F271" t="s">
        <v>882</v>
      </c>
      <c r="G271" t="s">
        <v>1903</v>
      </c>
      <c r="H271" t="s">
        <v>1904</v>
      </c>
      <c r="I271" t="s">
        <v>1901</v>
      </c>
      <c r="J271" t="s">
        <v>704</v>
      </c>
      <c r="K271" t="s">
        <v>677</v>
      </c>
      <c r="L271" t="s">
        <v>1905</v>
      </c>
      <c r="O271" t="s">
        <v>1222</v>
      </c>
      <c r="P271" t="s">
        <v>1906</v>
      </c>
      <c r="Q271">
        <v>5000000</v>
      </c>
      <c r="S271">
        <v>788881313</v>
      </c>
      <c r="T271">
        <v>54</v>
      </c>
      <c r="U271" t="s">
        <v>1111</v>
      </c>
      <c r="X271" t="s">
        <v>1900</v>
      </c>
      <c r="Z271" s="1">
        <v>45322</v>
      </c>
      <c r="AA271">
        <v>1</v>
      </c>
      <c r="AB271" t="s">
        <v>672</v>
      </c>
      <c r="AC271" t="s">
        <v>672</v>
      </c>
      <c r="AG271">
        <v>0</v>
      </c>
      <c r="AL271">
        <v>0</v>
      </c>
      <c r="AM271" t="s">
        <v>672</v>
      </c>
      <c r="AN271" t="s">
        <v>672</v>
      </c>
      <c r="AO271" t="s">
        <v>672</v>
      </c>
      <c r="AP271">
        <v>0</v>
      </c>
      <c r="AQ271">
        <v>0</v>
      </c>
      <c r="AR271" t="s">
        <v>672</v>
      </c>
      <c r="AS271">
        <v>1</v>
      </c>
      <c r="AT271">
        <v>4</v>
      </c>
    </row>
    <row r="272" spans="1:46">
      <c r="A272" t="s">
        <v>287</v>
      </c>
      <c r="B272">
        <v>277</v>
      </c>
      <c r="C272" t="s">
        <v>288</v>
      </c>
      <c r="D272">
        <v>95</v>
      </c>
      <c r="E272" t="s">
        <v>2291</v>
      </c>
      <c r="F272" t="s">
        <v>2139</v>
      </c>
      <c r="G272" t="s">
        <v>1912</v>
      </c>
      <c r="H272" t="s">
        <v>1913</v>
      </c>
      <c r="I272" t="s">
        <v>1910</v>
      </c>
      <c r="J272" t="s">
        <v>704</v>
      </c>
      <c r="K272" t="s">
        <v>677</v>
      </c>
      <c r="L272" t="s">
        <v>2292</v>
      </c>
      <c r="M272" t="s">
        <v>681</v>
      </c>
      <c r="N272" t="s">
        <v>681</v>
      </c>
      <c r="O272" t="s">
        <v>692</v>
      </c>
      <c r="P272" t="s">
        <v>681</v>
      </c>
      <c r="Q272" s="2">
        <v>6000000</v>
      </c>
      <c r="R272" t="s">
        <v>1911</v>
      </c>
      <c r="S272" t="s">
        <v>2293</v>
      </c>
      <c r="T272">
        <v>54</v>
      </c>
      <c r="U272" t="s">
        <v>1111</v>
      </c>
      <c r="V272" t="s">
        <v>1908</v>
      </c>
      <c r="W272" t="s">
        <v>1909</v>
      </c>
      <c r="X272" t="s">
        <v>2294</v>
      </c>
      <c r="Y272" t="s">
        <v>681</v>
      </c>
      <c r="Z272" s="1">
        <v>45322</v>
      </c>
      <c r="AA272">
        <v>1</v>
      </c>
      <c r="AB272" t="s">
        <v>672</v>
      </c>
      <c r="AC272" t="s">
        <v>672</v>
      </c>
      <c r="AG272">
        <v>0</v>
      </c>
      <c r="AL272">
        <v>0</v>
      </c>
      <c r="AM272" t="s">
        <v>672</v>
      </c>
      <c r="AN272" t="s">
        <v>672</v>
      </c>
      <c r="AO272" t="s">
        <v>672</v>
      </c>
      <c r="AP272">
        <v>0</v>
      </c>
      <c r="AQ272">
        <v>0</v>
      </c>
      <c r="AR272" t="s">
        <v>672</v>
      </c>
      <c r="AS272">
        <v>1</v>
      </c>
      <c r="AT272">
        <v>2</v>
      </c>
    </row>
    <row r="273" spans="1:46">
      <c r="A273" t="s">
        <v>370</v>
      </c>
      <c r="B273">
        <v>278</v>
      </c>
      <c r="C273" t="s">
        <v>371</v>
      </c>
      <c r="D273">
        <v>78</v>
      </c>
      <c r="E273" t="s">
        <v>2295</v>
      </c>
      <c r="F273" t="s">
        <v>2296</v>
      </c>
      <c r="G273" t="s">
        <v>1919</v>
      </c>
      <c r="H273" t="s">
        <v>1920</v>
      </c>
      <c r="I273" t="s">
        <v>1917</v>
      </c>
      <c r="J273" t="s">
        <v>704</v>
      </c>
      <c r="K273" t="s">
        <v>677</v>
      </c>
      <c r="L273" t="s">
        <v>1921</v>
      </c>
      <c r="M273" t="s">
        <v>1770</v>
      </c>
      <c r="N273">
        <v>322</v>
      </c>
      <c r="O273" t="s">
        <v>1222</v>
      </c>
      <c r="P273" t="s">
        <v>1922</v>
      </c>
      <c r="Q273" t="s">
        <v>2297</v>
      </c>
      <c r="R273" t="s">
        <v>1918</v>
      </c>
      <c r="S273" t="s">
        <v>2298</v>
      </c>
      <c r="T273">
        <v>54</v>
      </c>
      <c r="U273" t="s">
        <v>2299</v>
      </c>
      <c r="V273" t="s">
        <v>1915</v>
      </c>
      <c r="W273" t="s">
        <v>1916</v>
      </c>
      <c r="X273" t="s">
        <v>1914</v>
      </c>
      <c r="Y273" t="s">
        <v>681</v>
      </c>
      <c r="Z273" s="1">
        <v>45322</v>
      </c>
      <c r="AA273">
        <v>1</v>
      </c>
      <c r="AB273" t="s">
        <v>672</v>
      </c>
      <c r="AC273" t="s">
        <v>672</v>
      </c>
      <c r="AG273">
        <v>0</v>
      </c>
      <c r="AL273">
        <v>0</v>
      </c>
      <c r="AM273" t="s">
        <v>672</v>
      </c>
      <c r="AN273" t="s">
        <v>672</v>
      </c>
      <c r="AO273" t="s">
        <v>672</v>
      </c>
      <c r="AP273">
        <v>0</v>
      </c>
      <c r="AQ273">
        <v>0</v>
      </c>
      <c r="AR273" t="s">
        <v>672</v>
      </c>
      <c r="AS273">
        <v>1</v>
      </c>
      <c r="AT273">
        <v>2</v>
      </c>
    </row>
    <row r="274" spans="1:46">
      <c r="A274" t="s">
        <v>642</v>
      </c>
      <c r="B274">
        <v>279</v>
      </c>
      <c r="C274" t="s">
        <v>643</v>
      </c>
      <c r="D274">
        <v>78</v>
      </c>
      <c r="E274" t="s">
        <v>2300</v>
      </c>
      <c r="F274" t="s">
        <v>2139</v>
      </c>
      <c r="G274" t="s">
        <v>1919</v>
      </c>
      <c r="H274" t="s">
        <v>1927</v>
      </c>
      <c r="I274" t="s">
        <v>1925</v>
      </c>
      <c r="J274" t="s">
        <v>704</v>
      </c>
      <c r="K274" t="s">
        <v>677</v>
      </c>
      <c r="L274" t="s">
        <v>1928</v>
      </c>
      <c r="M274" t="s">
        <v>1929</v>
      </c>
      <c r="N274">
        <v>855</v>
      </c>
      <c r="O274" t="s">
        <v>692</v>
      </c>
      <c r="P274" t="s">
        <v>870</v>
      </c>
      <c r="Q274" s="2">
        <v>1000000</v>
      </c>
      <c r="R274" t="s">
        <v>1926</v>
      </c>
      <c r="S274" t="s">
        <v>2301</v>
      </c>
      <c r="T274">
        <v>54</v>
      </c>
      <c r="U274" t="s">
        <v>1111</v>
      </c>
      <c r="V274" t="s">
        <v>1923</v>
      </c>
      <c r="W274" t="s">
        <v>1924</v>
      </c>
      <c r="X274" t="s">
        <v>912</v>
      </c>
      <c r="Y274" t="s">
        <v>681</v>
      </c>
      <c r="Z274" s="1">
        <v>45322</v>
      </c>
      <c r="AA274">
        <v>1</v>
      </c>
      <c r="AB274" t="s">
        <v>672</v>
      </c>
      <c r="AC274" t="s">
        <v>672</v>
      </c>
      <c r="AG274">
        <v>0</v>
      </c>
      <c r="AL274">
        <v>0</v>
      </c>
      <c r="AM274" t="s">
        <v>672</v>
      </c>
      <c r="AN274" t="s">
        <v>672</v>
      </c>
      <c r="AO274" t="s">
        <v>672</v>
      </c>
      <c r="AP274">
        <v>0</v>
      </c>
      <c r="AQ274">
        <v>0</v>
      </c>
      <c r="AR274" t="s">
        <v>672</v>
      </c>
      <c r="AS274">
        <v>1</v>
      </c>
      <c r="AT274">
        <v>2</v>
      </c>
    </row>
    <row r="275" spans="1:46">
      <c r="A275" t="s">
        <v>1935</v>
      </c>
      <c r="B275">
        <v>280</v>
      </c>
      <c r="C275" t="s">
        <v>1930</v>
      </c>
      <c r="D275">
        <v>79</v>
      </c>
      <c r="E275" t="s">
        <v>2302</v>
      </c>
      <c r="F275" t="s">
        <v>2303</v>
      </c>
      <c r="G275" t="s">
        <v>1936</v>
      </c>
      <c r="H275" t="s">
        <v>1937</v>
      </c>
      <c r="I275" t="s">
        <v>1934</v>
      </c>
      <c r="J275" t="s">
        <v>704</v>
      </c>
      <c r="K275" t="s">
        <v>677</v>
      </c>
      <c r="L275" t="s">
        <v>1938</v>
      </c>
      <c r="M275" t="s">
        <v>681</v>
      </c>
      <c r="N275" t="s">
        <v>681</v>
      </c>
      <c r="O275" t="s">
        <v>742</v>
      </c>
      <c r="P275" t="s">
        <v>1939</v>
      </c>
      <c r="Q275" s="2">
        <v>5000000</v>
      </c>
      <c r="R275" t="s">
        <v>681</v>
      </c>
      <c r="S275" t="s">
        <v>2304</v>
      </c>
      <c r="T275">
        <v>54</v>
      </c>
      <c r="U275" t="s">
        <v>1416</v>
      </c>
      <c r="V275" t="s">
        <v>1932</v>
      </c>
      <c r="W275" t="s">
        <v>1933</v>
      </c>
      <c r="X275" t="s">
        <v>1931</v>
      </c>
      <c r="Y275" t="s">
        <v>681</v>
      </c>
      <c r="Z275" s="1">
        <v>45322</v>
      </c>
      <c r="AA275">
        <v>1</v>
      </c>
      <c r="AB275" t="s">
        <v>672</v>
      </c>
      <c r="AC275" t="s">
        <v>672</v>
      </c>
      <c r="AG275">
        <v>0</v>
      </c>
      <c r="AL275">
        <v>0</v>
      </c>
      <c r="AM275" t="s">
        <v>672</v>
      </c>
      <c r="AN275" t="s">
        <v>672</v>
      </c>
      <c r="AO275" t="s">
        <v>672</v>
      </c>
      <c r="AP275">
        <v>0</v>
      </c>
      <c r="AQ275">
        <v>0</v>
      </c>
      <c r="AR275" t="s">
        <v>672</v>
      </c>
      <c r="AS275">
        <v>1</v>
      </c>
      <c r="AT275">
        <v>2</v>
      </c>
    </row>
    <row r="276" spans="1:46">
      <c r="A276" t="s">
        <v>38</v>
      </c>
      <c r="B276">
        <v>281</v>
      </c>
      <c r="C276" t="s">
        <v>39</v>
      </c>
      <c r="D276">
        <v>80</v>
      </c>
      <c r="E276" t="s">
        <v>2305</v>
      </c>
      <c r="F276" t="s">
        <v>2296</v>
      </c>
      <c r="G276" t="s">
        <v>1943</v>
      </c>
      <c r="H276" t="s">
        <v>1944</v>
      </c>
      <c r="I276" t="s">
        <v>1942</v>
      </c>
      <c r="J276" t="s">
        <v>704</v>
      </c>
      <c r="K276" t="s">
        <v>677</v>
      </c>
      <c r="L276" t="s">
        <v>1945</v>
      </c>
      <c r="M276" t="s">
        <v>1946</v>
      </c>
      <c r="N276">
        <v>1054</v>
      </c>
      <c r="O276" t="s">
        <v>687</v>
      </c>
      <c r="P276" t="s">
        <v>889</v>
      </c>
      <c r="Q276" t="s">
        <v>2306</v>
      </c>
      <c r="R276" t="s">
        <v>681</v>
      </c>
      <c r="S276" t="s">
        <v>2307</v>
      </c>
      <c r="T276">
        <v>54</v>
      </c>
      <c r="U276" t="s">
        <v>1416</v>
      </c>
      <c r="V276" t="s">
        <v>1941</v>
      </c>
      <c r="W276" t="s">
        <v>681</v>
      </c>
      <c r="X276" t="s">
        <v>1940</v>
      </c>
      <c r="Y276" t="s">
        <v>681</v>
      </c>
      <c r="Z276" s="1">
        <v>45322</v>
      </c>
      <c r="AA276">
        <v>1</v>
      </c>
      <c r="AB276" t="s">
        <v>672</v>
      </c>
      <c r="AC276" t="s">
        <v>672</v>
      </c>
      <c r="AG276">
        <v>0</v>
      </c>
      <c r="AL276">
        <v>0</v>
      </c>
      <c r="AM276" t="s">
        <v>672</v>
      </c>
      <c r="AN276" t="s">
        <v>672</v>
      </c>
      <c r="AO276" t="s">
        <v>672</v>
      </c>
      <c r="AP276">
        <v>0</v>
      </c>
      <c r="AQ276">
        <v>0</v>
      </c>
      <c r="AR276" t="s">
        <v>672</v>
      </c>
      <c r="AS276">
        <v>1</v>
      </c>
      <c r="AT276">
        <v>2</v>
      </c>
    </row>
    <row r="277" spans="1:46">
      <c r="A277" t="s">
        <v>72</v>
      </c>
      <c r="B277">
        <v>282</v>
      </c>
      <c r="C277" t="s">
        <v>1947</v>
      </c>
      <c r="D277">
        <v>80</v>
      </c>
      <c r="E277" t="s">
        <v>2308</v>
      </c>
      <c r="F277" t="s">
        <v>2127</v>
      </c>
      <c r="G277" t="s">
        <v>1943</v>
      </c>
      <c r="H277" t="s">
        <v>1953</v>
      </c>
      <c r="I277" t="s">
        <v>1951</v>
      </c>
      <c r="J277" t="s">
        <v>704</v>
      </c>
      <c r="K277" t="s">
        <v>677</v>
      </c>
      <c r="L277" t="s">
        <v>1954</v>
      </c>
      <c r="M277" t="s">
        <v>1955</v>
      </c>
      <c r="N277">
        <v>99</v>
      </c>
      <c r="O277" t="s">
        <v>1222</v>
      </c>
      <c r="P277" t="s">
        <v>1369</v>
      </c>
      <c r="Q277" s="2">
        <v>1000000</v>
      </c>
      <c r="R277" t="s">
        <v>1952</v>
      </c>
      <c r="S277" t="s">
        <v>2309</v>
      </c>
      <c r="T277">
        <v>54</v>
      </c>
      <c r="U277" t="s">
        <v>1416</v>
      </c>
      <c r="V277" t="s">
        <v>1949</v>
      </c>
      <c r="W277" t="s">
        <v>1950</v>
      </c>
      <c r="X277" t="s">
        <v>1948</v>
      </c>
      <c r="Y277" t="s">
        <v>681</v>
      </c>
      <c r="Z277" s="1">
        <v>45322</v>
      </c>
      <c r="AA277">
        <v>1</v>
      </c>
      <c r="AB277" t="s">
        <v>672</v>
      </c>
      <c r="AC277" t="s">
        <v>672</v>
      </c>
      <c r="AG277">
        <v>0</v>
      </c>
      <c r="AL277">
        <v>0</v>
      </c>
      <c r="AM277" t="s">
        <v>672</v>
      </c>
      <c r="AN277" t="s">
        <v>672</v>
      </c>
      <c r="AO277" t="s">
        <v>672</v>
      </c>
      <c r="AP277">
        <v>0</v>
      </c>
      <c r="AQ277">
        <v>0</v>
      </c>
      <c r="AR277" t="s">
        <v>672</v>
      </c>
      <c r="AS277">
        <v>1</v>
      </c>
      <c r="AT277">
        <v>2</v>
      </c>
    </row>
    <row r="278" spans="1:46">
      <c r="A278" t="s">
        <v>354</v>
      </c>
      <c r="B278">
        <v>283</v>
      </c>
      <c r="C278" t="s">
        <v>1956</v>
      </c>
      <c r="D278">
        <v>81</v>
      </c>
      <c r="E278" t="s">
        <v>2310</v>
      </c>
      <c r="F278" t="s">
        <v>2122</v>
      </c>
      <c r="G278" t="s">
        <v>1958</v>
      </c>
      <c r="H278" t="s">
        <v>1959</v>
      </c>
      <c r="I278" t="s">
        <v>1957</v>
      </c>
      <c r="J278" t="s">
        <v>676</v>
      </c>
      <c r="K278" t="s">
        <v>677</v>
      </c>
      <c r="L278" t="s">
        <v>1960</v>
      </c>
      <c r="M278" t="s">
        <v>681</v>
      </c>
      <c r="N278" t="s">
        <v>681</v>
      </c>
      <c r="O278" t="s">
        <v>1222</v>
      </c>
      <c r="P278" t="s">
        <v>681</v>
      </c>
      <c r="Q278" s="2">
        <v>1000000</v>
      </c>
      <c r="R278" t="s">
        <v>681</v>
      </c>
      <c r="S278">
        <v>788881313</v>
      </c>
      <c r="T278">
        <v>54</v>
      </c>
      <c r="U278" t="s">
        <v>1111</v>
      </c>
      <c r="V278" t="s">
        <v>681</v>
      </c>
      <c r="W278" t="s">
        <v>681</v>
      </c>
      <c r="X278" t="s">
        <v>770</v>
      </c>
      <c r="Y278" t="s">
        <v>681</v>
      </c>
      <c r="Z278" s="1">
        <v>45322</v>
      </c>
      <c r="AA278">
        <v>1</v>
      </c>
      <c r="AB278" t="s">
        <v>672</v>
      </c>
      <c r="AC278" t="s">
        <v>672</v>
      </c>
      <c r="AG278">
        <v>0</v>
      </c>
      <c r="AL278">
        <v>0</v>
      </c>
      <c r="AM278" t="s">
        <v>672</v>
      </c>
      <c r="AN278" t="s">
        <v>672</v>
      </c>
      <c r="AO278" t="s">
        <v>672</v>
      </c>
      <c r="AP278">
        <v>0</v>
      </c>
      <c r="AQ278">
        <v>0</v>
      </c>
      <c r="AR278" t="s">
        <v>672</v>
      </c>
      <c r="AS278">
        <v>1</v>
      </c>
      <c r="AT278">
        <v>2</v>
      </c>
    </row>
    <row r="279" spans="1:46">
      <c r="A279" t="s">
        <v>269</v>
      </c>
      <c r="B279">
        <v>284</v>
      </c>
      <c r="C279" t="s">
        <v>1961</v>
      </c>
      <c r="D279">
        <v>77</v>
      </c>
      <c r="E279" t="s">
        <v>2311</v>
      </c>
      <c r="F279" t="s">
        <v>2125</v>
      </c>
      <c r="G279" t="s">
        <v>1964</v>
      </c>
      <c r="H279" t="s">
        <v>1965</v>
      </c>
      <c r="I279" t="s">
        <v>1963</v>
      </c>
      <c r="J279" t="s">
        <v>676</v>
      </c>
      <c r="K279" t="s">
        <v>677</v>
      </c>
      <c r="L279" t="s">
        <v>1966</v>
      </c>
      <c r="M279" t="s">
        <v>681</v>
      </c>
      <c r="N279" t="s">
        <v>681</v>
      </c>
      <c r="O279" t="s">
        <v>1222</v>
      </c>
      <c r="P279" t="s">
        <v>681</v>
      </c>
      <c r="Q279" s="2">
        <v>1000000</v>
      </c>
      <c r="R279" t="s">
        <v>681</v>
      </c>
      <c r="S279">
        <v>788881313</v>
      </c>
      <c r="T279">
        <v>54</v>
      </c>
      <c r="U279" t="s">
        <v>1111</v>
      </c>
      <c r="V279" t="s">
        <v>681</v>
      </c>
      <c r="W279" t="s">
        <v>681</v>
      </c>
      <c r="X279" t="s">
        <v>1962</v>
      </c>
      <c r="Y279" t="s">
        <v>681</v>
      </c>
      <c r="Z279" s="1">
        <v>45322</v>
      </c>
      <c r="AA279">
        <v>1</v>
      </c>
      <c r="AB279" t="s">
        <v>672</v>
      </c>
      <c r="AC279" t="s">
        <v>672</v>
      </c>
      <c r="AG279">
        <v>0</v>
      </c>
      <c r="AL279">
        <v>0</v>
      </c>
      <c r="AM279" t="s">
        <v>672</v>
      </c>
      <c r="AN279" t="s">
        <v>672</v>
      </c>
      <c r="AO279" t="s">
        <v>672</v>
      </c>
      <c r="AP279">
        <v>0</v>
      </c>
      <c r="AQ279">
        <v>0</v>
      </c>
      <c r="AR279" t="s">
        <v>672</v>
      </c>
      <c r="AS279">
        <v>1</v>
      </c>
      <c r="AT279">
        <v>2</v>
      </c>
    </row>
    <row r="280" spans="1:46">
      <c r="A280" t="s">
        <v>366</v>
      </c>
      <c r="B280">
        <v>285</v>
      </c>
      <c r="C280" t="s">
        <v>1967</v>
      </c>
      <c r="D280">
        <v>77</v>
      </c>
      <c r="E280" t="s">
        <v>2312</v>
      </c>
      <c r="F280" t="s">
        <v>882</v>
      </c>
      <c r="G280" t="s">
        <v>1970</v>
      </c>
      <c r="H280" t="s">
        <v>1971</v>
      </c>
      <c r="I280" t="s">
        <v>1969</v>
      </c>
      <c r="J280" t="s">
        <v>704</v>
      </c>
      <c r="K280" t="s">
        <v>677</v>
      </c>
      <c r="L280" t="s">
        <v>1599</v>
      </c>
      <c r="M280" t="s">
        <v>1972</v>
      </c>
      <c r="N280">
        <v>23</v>
      </c>
      <c r="O280" t="s">
        <v>942</v>
      </c>
      <c r="P280" t="s">
        <v>1454</v>
      </c>
      <c r="Q280">
        <v>1000000</v>
      </c>
      <c r="S280">
        <v>102916249</v>
      </c>
      <c r="T280">
        <v>54</v>
      </c>
      <c r="U280" t="s">
        <v>1111</v>
      </c>
      <c r="V280" t="s">
        <v>1968</v>
      </c>
      <c r="X280" t="s">
        <v>959</v>
      </c>
      <c r="Z280" s="1">
        <v>45322</v>
      </c>
      <c r="AA280">
        <v>1</v>
      </c>
      <c r="AB280" t="s">
        <v>672</v>
      </c>
      <c r="AC280" t="s">
        <v>672</v>
      </c>
      <c r="AG280">
        <v>0</v>
      </c>
      <c r="AL280">
        <v>0</v>
      </c>
      <c r="AM280" t="s">
        <v>672</v>
      </c>
      <c r="AN280" t="s">
        <v>672</v>
      </c>
      <c r="AO280" t="s">
        <v>672</v>
      </c>
      <c r="AP280">
        <v>0</v>
      </c>
      <c r="AQ280">
        <v>0</v>
      </c>
      <c r="AR280" t="s">
        <v>672</v>
      </c>
      <c r="AS280">
        <v>1</v>
      </c>
      <c r="AT280">
        <v>4</v>
      </c>
    </row>
    <row r="281" spans="1:46">
      <c r="A281" t="s">
        <v>179</v>
      </c>
      <c r="B281">
        <v>286</v>
      </c>
      <c r="C281" t="s">
        <v>180</v>
      </c>
      <c r="D281">
        <v>95</v>
      </c>
      <c r="E281" t="s">
        <v>2313</v>
      </c>
      <c r="F281" t="s">
        <v>2314</v>
      </c>
      <c r="G281" t="s">
        <v>2315</v>
      </c>
      <c r="H281" t="s">
        <v>2316</v>
      </c>
      <c r="I281" t="s">
        <v>1975</v>
      </c>
      <c r="J281" t="s">
        <v>917</v>
      </c>
      <c r="K281" t="s">
        <v>712</v>
      </c>
      <c r="L281" t="s">
        <v>2317</v>
      </c>
      <c r="M281" t="s">
        <v>1976</v>
      </c>
      <c r="N281">
        <v>161</v>
      </c>
      <c r="O281" t="s">
        <v>834</v>
      </c>
      <c r="P281" t="s">
        <v>1551</v>
      </c>
      <c r="Q281">
        <v>10000000</v>
      </c>
      <c r="S281">
        <v>708455274</v>
      </c>
      <c r="T281">
        <v>54</v>
      </c>
      <c r="U281" t="s">
        <v>1111</v>
      </c>
      <c r="V281" t="s">
        <v>1974</v>
      </c>
      <c r="X281" t="s">
        <v>1973</v>
      </c>
      <c r="Z281" s="1">
        <v>45321</v>
      </c>
      <c r="AA281">
        <v>1</v>
      </c>
      <c r="AB281" t="s">
        <v>672</v>
      </c>
      <c r="AC281" t="s">
        <v>672</v>
      </c>
      <c r="AG281">
        <v>0</v>
      </c>
      <c r="AL281">
        <v>0</v>
      </c>
      <c r="AM281" t="s">
        <v>672</v>
      </c>
      <c r="AN281" t="s">
        <v>672</v>
      </c>
      <c r="AO281" t="s">
        <v>672</v>
      </c>
      <c r="AP281">
        <v>0</v>
      </c>
      <c r="AQ281">
        <v>0</v>
      </c>
      <c r="AR281" t="s">
        <v>672</v>
      </c>
      <c r="AS281">
        <v>1</v>
      </c>
      <c r="AT281">
        <v>4</v>
      </c>
    </row>
    <row r="282" spans="1:46">
      <c r="A282" t="s">
        <v>396</v>
      </c>
      <c r="B282">
        <v>287</v>
      </c>
      <c r="C282" t="s">
        <v>397</v>
      </c>
      <c r="D282">
        <v>80</v>
      </c>
      <c r="E282" t="s">
        <v>2318</v>
      </c>
      <c r="F282" t="s">
        <v>882</v>
      </c>
      <c r="G282" t="s">
        <v>2319</v>
      </c>
      <c r="H282" t="s">
        <v>2320</v>
      </c>
      <c r="I282" t="s">
        <v>1979</v>
      </c>
      <c r="J282" t="s">
        <v>704</v>
      </c>
      <c r="K282" t="s">
        <v>677</v>
      </c>
      <c r="L282" t="s">
        <v>1982</v>
      </c>
      <c r="O282" t="s">
        <v>746</v>
      </c>
      <c r="R282" t="s">
        <v>1980</v>
      </c>
      <c r="S282">
        <v>101939323</v>
      </c>
      <c r="T282">
        <v>54</v>
      </c>
      <c r="U282" t="s">
        <v>673</v>
      </c>
      <c r="V282" t="s">
        <v>1978</v>
      </c>
      <c r="X282" t="s">
        <v>1977</v>
      </c>
      <c r="Z282" s="1">
        <v>45321</v>
      </c>
      <c r="AA282">
        <v>1</v>
      </c>
      <c r="AB282" t="s">
        <v>672</v>
      </c>
      <c r="AC282" t="s">
        <v>672</v>
      </c>
      <c r="AG282">
        <v>0</v>
      </c>
      <c r="AL282">
        <v>0</v>
      </c>
      <c r="AM282" t="s">
        <v>672</v>
      </c>
      <c r="AN282" t="s">
        <v>672</v>
      </c>
      <c r="AO282" t="s">
        <v>672</v>
      </c>
      <c r="AP282">
        <v>0</v>
      </c>
      <c r="AQ282">
        <v>0</v>
      </c>
      <c r="AR282" t="s">
        <v>672</v>
      </c>
      <c r="AS282">
        <v>1</v>
      </c>
      <c r="AT282">
        <v>4</v>
      </c>
    </row>
    <row r="283" spans="1:46">
      <c r="A283" t="s">
        <v>394</v>
      </c>
      <c r="B283">
        <v>288</v>
      </c>
      <c r="C283" t="s">
        <v>395</v>
      </c>
      <c r="D283">
        <v>95</v>
      </c>
      <c r="E283" t="s">
        <v>2321</v>
      </c>
      <c r="F283" t="s">
        <v>882</v>
      </c>
      <c r="G283" t="s">
        <v>2322</v>
      </c>
      <c r="H283" t="s">
        <v>2323</v>
      </c>
      <c r="I283" t="s">
        <v>1985</v>
      </c>
      <c r="J283" t="s">
        <v>704</v>
      </c>
      <c r="K283" t="s">
        <v>677</v>
      </c>
      <c r="L283" t="s">
        <v>1987</v>
      </c>
      <c r="M283" t="s">
        <v>1988</v>
      </c>
      <c r="N283">
        <v>34</v>
      </c>
      <c r="P283" t="s">
        <v>769</v>
      </c>
      <c r="Q283">
        <v>1500000</v>
      </c>
      <c r="S283">
        <v>707530941</v>
      </c>
      <c r="T283">
        <v>54</v>
      </c>
      <c r="U283" t="s">
        <v>1111</v>
      </c>
      <c r="V283" t="s">
        <v>1984</v>
      </c>
      <c r="X283" t="s">
        <v>1983</v>
      </c>
      <c r="Z283" s="1">
        <v>45321</v>
      </c>
      <c r="AA283">
        <v>1</v>
      </c>
      <c r="AB283" t="s">
        <v>672</v>
      </c>
      <c r="AC283" t="s">
        <v>2324</v>
      </c>
      <c r="AG283">
        <v>0</v>
      </c>
      <c r="AL283">
        <v>0</v>
      </c>
      <c r="AM283" t="s">
        <v>672</v>
      </c>
      <c r="AN283" t="s">
        <v>672</v>
      </c>
      <c r="AO283" t="s">
        <v>672</v>
      </c>
      <c r="AP283">
        <v>0</v>
      </c>
      <c r="AQ283">
        <v>0</v>
      </c>
      <c r="AR283" t="s">
        <v>672</v>
      </c>
      <c r="AS283">
        <v>1</v>
      </c>
      <c r="AT283">
        <v>4</v>
      </c>
    </row>
    <row r="284" spans="1:46">
      <c r="A284" t="s">
        <v>66</v>
      </c>
      <c r="B284">
        <v>289</v>
      </c>
      <c r="C284" t="s">
        <v>67</v>
      </c>
      <c r="D284">
        <v>81</v>
      </c>
      <c r="E284" t="s">
        <v>2325</v>
      </c>
      <c r="F284" t="s">
        <v>1361</v>
      </c>
      <c r="G284" t="s">
        <v>2326</v>
      </c>
      <c r="H284" t="s">
        <v>2327</v>
      </c>
      <c r="I284" t="s">
        <v>1991</v>
      </c>
      <c r="J284" t="s">
        <v>704</v>
      </c>
      <c r="K284" t="s">
        <v>677</v>
      </c>
      <c r="L284" t="s">
        <v>1992</v>
      </c>
      <c r="M284" t="s">
        <v>1993</v>
      </c>
      <c r="N284">
        <v>44</v>
      </c>
      <c r="O284" t="s">
        <v>750</v>
      </c>
      <c r="P284" t="s">
        <v>910</v>
      </c>
      <c r="Q284">
        <v>5000000</v>
      </c>
      <c r="S284">
        <v>142900455</v>
      </c>
      <c r="T284">
        <v>54</v>
      </c>
      <c r="U284" t="s">
        <v>1111</v>
      </c>
      <c r="V284" t="s">
        <v>1990</v>
      </c>
      <c r="X284" t="s">
        <v>1989</v>
      </c>
      <c r="Z284" s="1">
        <v>45321</v>
      </c>
      <c r="AA284">
        <v>1</v>
      </c>
      <c r="AB284" t="s">
        <v>672</v>
      </c>
      <c r="AC284" t="s">
        <v>672</v>
      </c>
      <c r="AG284">
        <v>0</v>
      </c>
      <c r="AL284">
        <v>0</v>
      </c>
      <c r="AM284" t="s">
        <v>672</v>
      </c>
      <c r="AN284" t="s">
        <v>672</v>
      </c>
      <c r="AO284" t="s">
        <v>672</v>
      </c>
      <c r="AP284">
        <v>0</v>
      </c>
      <c r="AQ284">
        <v>0</v>
      </c>
      <c r="AR284" t="s">
        <v>672</v>
      </c>
      <c r="AS284">
        <v>1</v>
      </c>
      <c r="AT284">
        <v>4</v>
      </c>
    </row>
    <row r="285" spans="1:46">
      <c r="A285" t="s">
        <v>177</v>
      </c>
      <c r="B285">
        <v>290</v>
      </c>
      <c r="C285" t="s">
        <v>178</v>
      </c>
      <c r="D285">
        <v>82</v>
      </c>
      <c r="E285" t="s">
        <v>2328</v>
      </c>
      <c r="F285" t="s">
        <v>2139</v>
      </c>
      <c r="G285" t="s">
        <v>2329</v>
      </c>
      <c r="H285" t="s">
        <v>2330</v>
      </c>
      <c r="I285" t="s">
        <v>1996</v>
      </c>
      <c r="J285" t="s">
        <v>704</v>
      </c>
      <c r="K285" t="s">
        <v>677</v>
      </c>
      <c r="L285" t="s">
        <v>2331</v>
      </c>
      <c r="M285" t="s">
        <v>1997</v>
      </c>
      <c r="N285">
        <v>228</v>
      </c>
      <c r="O285" t="s">
        <v>750</v>
      </c>
      <c r="P285" t="s">
        <v>1998</v>
      </c>
      <c r="Q285" s="2">
        <v>1000000</v>
      </c>
      <c r="R285" t="s">
        <v>681</v>
      </c>
      <c r="S285">
        <v>708152404</v>
      </c>
      <c r="T285">
        <v>54</v>
      </c>
      <c r="U285" t="s">
        <v>1111</v>
      </c>
      <c r="V285" t="s">
        <v>1995</v>
      </c>
      <c r="W285" t="s">
        <v>681</v>
      </c>
      <c r="X285" t="s">
        <v>1994</v>
      </c>
      <c r="Y285" t="s">
        <v>681</v>
      </c>
      <c r="Z285" s="1">
        <v>45321</v>
      </c>
      <c r="AA285">
        <v>1</v>
      </c>
      <c r="AB285" t="s">
        <v>672</v>
      </c>
      <c r="AC285" t="s">
        <v>672</v>
      </c>
      <c r="AG285">
        <v>0</v>
      </c>
      <c r="AL285">
        <v>0</v>
      </c>
      <c r="AM285" t="s">
        <v>672</v>
      </c>
      <c r="AN285" t="s">
        <v>672</v>
      </c>
      <c r="AO285" t="s">
        <v>672</v>
      </c>
      <c r="AP285">
        <v>0</v>
      </c>
      <c r="AQ285">
        <v>0</v>
      </c>
      <c r="AR285" t="s">
        <v>672</v>
      </c>
      <c r="AS285">
        <v>1</v>
      </c>
      <c r="AT285">
        <v>2</v>
      </c>
    </row>
    <row r="286" spans="1:46">
      <c r="A286" t="s">
        <v>2001</v>
      </c>
      <c r="B286">
        <v>291</v>
      </c>
      <c r="C286" t="s">
        <v>1999</v>
      </c>
      <c r="D286">
        <v>83</v>
      </c>
      <c r="E286" t="s">
        <v>2332</v>
      </c>
      <c r="F286" t="s">
        <v>2125</v>
      </c>
      <c r="G286" t="s">
        <v>2333</v>
      </c>
      <c r="H286" t="s">
        <v>2334</v>
      </c>
      <c r="I286" t="s">
        <v>2000</v>
      </c>
      <c r="J286" t="s">
        <v>676</v>
      </c>
      <c r="K286" t="s">
        <v>677</v>
      </c>
      <c r="L286" t="s">
        <v>2002</v>
      </c>
      <c r="M286" t="s">
        <v>681</v>
      </c>
      <c r="N286" t="s">
        <v>681</v>
      </c>
      <c r="O286" t="s">
        <v>942</v>
      </c>
      <c r="P286" t="s">
        <v>2003</v>
      </c>
      <c r="Q286">
        <v>0</v>
      </c>
      <c r="R286" t="s">
        <v>681</v>
      </c>
      <c r="S286">
        <v>707569425</v>
      </c>
      <c r="T286">
        <v>54</v>
      </c>
      <c r="U286" t="s">
        <v>959</v>
      </c>
      <c r="V286" t="s">
        <v>681</v>
      </c>
      <c r="W286" t="s">
        <v>681</v>
      </c>
      <c r="X286" t="s">
        <v>1828</v>
      </c>
      <c r="Y286" t="s">
        <v>681</v>
      </c>
      <c r="Z286" s="1">
        <v>45321</v>
      </c>
      <c r="AA286">
        <v>1</v>
      </c>
      <c r="AB286" t="s">
        <v>672</v>
      </c>
      <c r="AC286" t="s">
        <v>672</v>
      </c>
      <c r="AG286">
        <v>0</v>
      </c>
      <c r="AL286">
        <v>0</v>
      </c>
      <c r="AM286" t="s">
        <v>672</v>
      </c>
      <c r="AN286" t="s">
        <v>672</v>
      </c>
      <c r="AO286" t="s">
        <v>672</v>
      </c>
      <c r="AP286">
        <v>0</v>
      </c>
      <c r="AQ286">
        <v>0</v>
      </c>
      <c r="AR286" t="s">
        <v>672</v>
      </c>
      <c r="AS286">
        <v>1</v>
      </c>
      <c r="AT286">
        <v>2</v>
      </c>
    </row>
    <row r="287" spans="1:46">
      <c r="A287" t="s">
        <v>648</v>
      </c>
      <c r="B287">
        <v>292</v>
      </c>
      <c r="C287" t="s">
        <v>2335</v>
      </c>
      <c r="D287">
        <v>84</v>
      </c>
      <c r="E287" t="s">
        <v>2004</v>
      </c>
      <c r="F287" t="s">
        <v>1388</v>
      </c>
      <c r="G287" t="s">
        <v>2336</v>
      </c>
      <c r="H287" t="s">
        <v>2337</v>
      </c>
      <c r="I287" t="s">
        <v>2007</v>
      </c>
      <c r="J287" t="s">
        <v>676</v>
      </c>
      <c r="K287" t="s">
        <v>677</v>
      </c>
      <c r="L287" t="s">
        <v>2009</v>
      </c>
      <c r="O287" t="s">
        <v>834</v>
      </c>
      <c r="P287" t="s">
        <v>925</v>
      </c>
      <c r="S287">
        <v>707866748</v>
      </c>
      <c r="T287">
        <v>54</v>
      </c>
      <c r="U287" t="s">
        <v>1111</v>
      </c>
      <c r="V287" t="s">
        <v>2006</v>
      </c>
      <c r="X287" t="s">
        <v>2005</v>
      </c>
      <c r="Z287" s="1">
        <v>45321</v>
      </c>
      <c r="AA287">
        <v>1</v>
      </c>
      <c r="AB287" t="s">
        <v>672</v>
      </c>
      <c r="AC287" t="s">
        <v>672</v>
      </c>
      <c r="AG287">
        <v>0</v>
      </c>
      <c r="AL287">
        <v>0</v>
      </c>
      <c r="AM287" t="s">
        <v>672</v>
      </c>
      <c r="AN287" t="s">
        <v>672</v>
      </c>
      <c r="AO287" t="s">
        <v>672</v>
      </c>
      <c r="AP287">
        <v>0</v>
      </c>
      <c r="AQ287">
        <v>0</v>
      </c>
      <c r="AR287" t="s">
        <v>672</v>
      </c>
      <c r="AS287">
        <v>1</v>
      </c>
      <c r="AT287">
        <v>4</v>
      </c>
    </row>
    <row r="288" spans="1:46">
      <c r="A288" t="s">
        <v>162</v>
      </c>
      <c r="B288">
        <v>293</v>
      </c>
      <c r="C288" t="s">
        <v>2010</v>
      </c>
      <c r="D288">
        <v>85</v>
      </c>
      <c r="E288" t="s">
        <v>2338</v>
      </c>
      <c r="F288" t="s">
        <v>882</v>
      </c>
      <c r="G288" t="s">
        <v>2339</v>
      </c>
      <c r="H288" t="s">
        <v>2340</v>
      </c>
      <c r="I288" t="s">
        <v>2013</v>
      </c>
      <c r="J288" t="s">
        <v>704</v>
      </c>
      <c r="K288" t="s">
        <v>677</v>
      </c>
      <c r="L288" t="s">
        <v>2014</v>
      </c>
      <c r="M288" t="s">
        <v>1485</v>
      </c>
      <c r="N288">
        <v>50</v>
      </c>
      <c r="O288" t="s">
        <v>742</v>
      </c>
      <c r="P288" t="s">
        <v>879</v>
      </c>
      <c r="Q288">
        <v>1000000</v>
      </c>
      <c r="S288" t="s">
        <v>2341</v>
      </c>
      <c r="T288">
        <v>54</v>
      </c>
      <c r="U288" t="s">
        <v>1111</v>
      </c>
      <c r="V288" t="s">
        <v>2012</v>
      </c>
      <c r="X288" t="s">
        <v>2011</v>
      </c>
      <c r="Z288" s="1">
        <v>45321</v>
      </c>
      <c r="AA288">
        <v>1</v>
      </c>
      <c r="AB288" t="s">
        <v>672</v>
      </c>
      <c r="AC288" t="s">
        <v>672</v>
      </c>
      <c r="AG288">
        <v>0</v>
      </c>
      <c r="AL288">
        <v>0</v>
      </c>
      <c r="AM288" t="s">
        <v>672</v>
      </c>
      <c r="AN288" t="s">
        <v>672</v>
      </c>
      <c r="AO288" t="s">
        <v>672</v>
      </c>
      <c r="AP288">
        <v>0</v>
      </c>
      <c r="AQ288">
        <v>0</v>
      </c>
      <c r="AR288" t="s">
        <v>672</v>
      </c>
      <c r="AS288">
        <v>1</v>
      </c>
      <c r="AT288">
        <v>4</v>
      </c>
    </row>
    <row r="289" spans="1:46">
      <c r="A289" t="s">
        <v>2017</v>
      </c>
      <c r="B289">
        <v>294</v>
      </c>
      <c r="C289" t="s">
        <v>2342</v>
      </c>
      <c r="D289">
        <v>89</v>
      </c>
      <c r="E289" t="s">
        <v>2343</v>
      </c>
      <c r="F289" t="s">
        <v>1440</v>
      </c>
      <c r="G289" t="s">
        <v>2019</v>
      </c>
      <c r="H289" t="s">
        <v>2020</v>
      </c>
      <c r="I289" t="s">
        <v>2016</v>
      </c>
      <c r="J289" t="s">
        <v>704</v>
      </c>
      <c r="K289" t="s">
        <v>677</v>
      </c>
      <c r="L289" t="s">
        <v>2021</v>
      </c>
      <c r="N289" t="s">
        <v>2022</v>
      </c>
      <c r="O289" t="s">
        <v>687</v>
      </c>
      <c r="P289">
        <v>63</v>
      </c>
      <c r="Q289" s="2">
        <v>1000000</v>
      </c>
      <c r="R289" t="s">
        <v>2018</v>
      </c>
      <c r="S289" t="s">
        <v>2344</v>
      </c>
      <c r="T289">
        <v>54</v>
      </c>
      <c r="U289" t="s">
        <v>1416</v>
      </c>
      <c r="W289" t="s">
        <v>2015</v>
      </c>
      <c r="X289" t="s">
        <v>881</v>
      </c>
      <c r="Z289" s="1">
        <v>45320</v>
      </c>
      <c r="AA289">
        <v>1</v>
      </c>
      <c r="AB289" t="s">
        <v>672</v>
      </c>
      <c r="AC289" t="s">
        <v>672</v>
      </c>
      <c r="AG289">
        <v>0</v>
      </c>
      <c r="AL289">
        <v>0</v>
      </c>
      <c r="AM289" t="s">
        <v>672</v>
      </c>
      <c r="AN289" t="s">
        <v>672</v>
      </c>
      <c r="AO289" t="s">
        <v>672</v>
      </c>
      <c r="AP289">
        <v>0</v>
      </c>
      <c r="AQ289">
        <v>0</v>
      </c>
      <c r="AR289" t="s">
        <v>672</v>
      </c>
      <c r="AS289">
        <v>1</v>
      </c>
      <c r="AT289">
        <v>6</v>
      </c>
    </row>
    <row r="290" spans="1:46">
      <c r="A290" t="s">
        <v>225</v>
      </c>
      <c r="B290">
        <v>295</v>
      </c>
      <c r="C290" t="s">
        <v>226</v>
      </c>
      <c r="D290">
        <v>87</v>
      </c>
      <c r="E290" t="s">
        <v>2345</v>
      </c>
      <c r="F290" t="s">
        <v>882</v>
      </c>
      <c r="G290" t="s">
        <v>2346</v>
      </c>
      <c r="H290" t="s">
        <v>2347</v>
      </c>
      <c r="I290" t="s">
        <v>2024</v>
      </c>
      <c r="J290" t="s">
        <v>704</v>
      </c>
      <c r="K290" t="s">
        <v>677</v>
      </c>
      <c r="L290" t="s">
        <v>2027</v>
      </c>
      <c r="M290" t="s">
        <v>1385</v>
      </c>
      <c r="N290">
        <v>473</v>
      </c>
      <c r="O290" t="s">
        <v>1222</v>
      </c>
      <c r="P290" t="s">
        <v>904</v>
      </c>
      <c r="Q290">
        <v>1000000</v>
      </c>
      <c r="R290" t="s">
        <v>2025</v>
      </c>
      <c r="S290">
        <v>767501151</v>
      </c>
      <c r="T290">
        <v>54</v>
      </c>
      <c r="U290" t="s">
        <v>1111</v>
      </c>
      <c r="V290" t="s">
        <v>2023</v>
      </c>
      <c r="X290" t="s">
        <v>788</v>
      </c>
      <c r="Z290" s="1">
        <v>45322</v>
      </c>
      <c r="AA290">
        <v>1</v>
      </c>
      <c r="AB290" t="s">
        <v>672</v>
      </c>
      <c r="AC290" t="s">
        <v>672</v>
      </c>
      <c r="AG290">
        <v>0</v>
      </c>
      <c r="AL290">
        <v>0</v>
      </c>
      <c r="AM290" t="s">
        <v>672</v>
      </c>
      <c r="AN290" t="s">
        <v>672</v>
      </c>
      <c r="AO290" t="s">
        <v>672</v>
      </c>
      <c r="AP290">
        <v>0</v>
      </c>
      <c r="AQ290">
        <v>0</v>
      </c>
      <c r="AR290" t="s">
        <v>672</v>
      </c>
      <c r="AS290">
        <v>1</v>
      </c>
      <c r="AT290">
        <v>4</v>
      </c>
    </row>
    <row r="291" spans="1:46">
      <c r="A291" t="s">
        <v>6</v>
      </c>
      <c r="B291">
        <v>297</v>
      </c>
      <c r="C291" t="s">
        <v>2348</v>
      </c>
      <c r="D291">
        <v>95</v>
      </c>
      <c r="E291" t="s">
        <v>7</v>
      </c>
      <c r="F291" t="s">
        <v>1388</v>
      </c>
      <c r="G291" t="s">
        <v>2349</v>
      </c>
      <c r="H291" t="s">
        <v>2350</v>
      </c>
      <c r="I291" t="s">
        <v>2030</v>
      </c>
      <c r="J291" t="s">
        <v>676</v>
      </c>
      <c r="K291" t="s">
        <v>677</v>
      </c>
      <c r="L291" t="s">
        <v>2031</v>
      </c>
      <c r="O291" t="s">
        <v>692</v>
      </c>
      <c r="P291" t="s">
        <v>776</v>
      </c>
      <c r="Q291">
        <v>25000</v>
      </c>
      <c r="S291">
        <v>505954425</v>
      </c>
      <c r="T291">
        <v>54</v>
      </c>
      <c r="U291" t="s">
        <v>1111</v>
      </c>
      <c r="V291" t="s">
        <v>2029</v>
      </c>
      <c r="X291" t="s">
        <v>2028</v>
      </c>
      <c r="Z291" s="1">
        <v>45320</v>
      </c>
      <c r="AA291">
        <v>1</v>
      </c>
      <c r="AB291" t="s">
        <v>672</v>
      </c>
      <c r="AC291" t="s">
        <v>672</v>
      </c>
      <c r="AG291">
        <v>0</v>
      </c>
      <c r="AL291">
        <v>0</v>
      </c>
      <c r="AM291" t="s">
        <v>672</v>
      </c>
      <c r="AN291" t="s">
        <v>672</v>
      </c>
      <c r="AO291" t="s">
        <v>672</v>
      </c>
      <c r="AP291">
        <v>0</v>
      </c>
      <c r="AQ291">
        <v>0</v>
      </c>
      <c r="AR291" t="s">
        <v>672</v>
      </c>
      <c r="AS291">
        <v>1</v>
      </c>
      <c r="AT291">
        <v>4</v>
      </c>
    </row>
    <row r="292" spans="1:46">
      <c r="A292" t="s">
        <v>620</v>
      </c>
      <c r="B292">
        <v>298</v>
      </c>
      <c r="C292" t="s">
        <v>2351</v>
      </c>
      <c r="D292">
        <v>89</v>
      </c>
      <c r="E292" t="s">
        <v>2352</v>
      </c>
      <c r="F292" t="s">
        <v>1415</v>
      </c>
      <c r="G292" t="s">
        <v>2032</v>
      </c>
      <c r="H292" t="s">
        <v>2033</v>
      </c>
      <c r="I292" t="s">
        <v>1873</v>
      </c>
      <c r="J292" t="s">
        <v>676</v>
      </c>
      <c r="K292" t="s">
        <v>677</v>
      </c>
      <c r="L292" t="s">
        <v>2034</v>
      </c>
      <c r="M292" t="s">
        <v>2035</v>
      </c>
      <c r="N292">
        <v>81</v>
      </c>
      <c r="O292" t="s">
        <v>834</v>
      </c>
      <c r="P292" t="s">
        <v>816</v>
      </c>
      <c r="S292">
        <v>586569793</v>
      </c>
      <c r="T292">
        <v>54</v>
      </c>
      <c r="U292" t="s">
        <v>1416</v>
      </c>
      <c r="X292" t="s">
        <v>828</v>
      </c>
      <c r="Z292" s="1">
        <v>45320</v>
      </c>
      <c r="AA292">
        <v>1</v>
      </c>
      <c r="AB292" t="s">
        <v>672</v>
      </c>
      <c r="AC292" t="s">
        <v>672</v>
      </c>
      <c r="AG292">
        <v>0</v>
      </c>
      <c r="AL292">
        <v>0</v>
      </c>
      <c r="AM292" t="s">
        <v>672</v>
      </c>
      <c r="AN292" t="s">
        <v>672</v>
      </c>
      <c r="AO292" t="s">
        <v>672</v>
      </c>
      <c r="AP292">
        <v>0</v>
      </c>
      <c r="AQ292">
        <v>0</v>
      </c>
      <c r="AR292" t="s">
        <v>672</v>
      </c>
      <c r="AS292">
        <v>1</v>
      </c>
      <c r="AT292">
        <v>6</v>
      </c>
    </row>
    <row r="293" spans="1:46">
      <c r="A293" t="s">
        <v>227</v>
      </c>
      <c r="B293">
        <v>299</v>
      </c>
      <c r="C293" t="s">
        <v>2036</v>
      </c>
      <c r="D293">
        <v>90</v>
      </c>
      <c r="E293" t="s">
        <v>2353</v>
      </c>
      <c r="F293" t="s">
        <v>2125</v>
      </c>
      <c r="G293" t="s">
        <v>2354</v>
      </c>
      <c r="H293" t="s">
        <v>2355</v>
      </c>
      <c r="I293" t="s">
        <v>2039</v>
      </c>
      <c r="J293" t="s">
        <v>676</v>
      </c>
      <c r="K293" t="s">
        <v>677</v>
      </c>
      <c r="L293" t="s">
        <v>2356</v>
      </c>
      <c r="M293" t="s">
        <v>2041</v>
      </c>
      <c r="N293">
        <v>355</v>
      </c>
      <c r="O293" t="s">
        <v>692</v>
      </c>
      <c r="P293" t="s">
        <v>910</v>
      </c>
      <c r="Q293">
        <v>0</v>
      </c>
      <c r="R293" t="s">
        <v>2040</v>
      </c>
      <c r="S293" t="s">
        <v>2357</v>
      </c>
      <c r="T293">
        <v>54</v>
      </c>
      <c r="U293" t="s">
        <v>1111</v>
      </c>
      <c r="V293" t="s">
        <v>2038</v>
      </c>
      <c r="X293" t="s">
        <v>2037</v>
      </c>
      <c r="Z293" s="1">
        <v>45321</v>
      </c>
      <c r="AA293">
        <v>1</v>
      </c>
      <c r="AB293" t="s">
        <v>672</v>
      </c>
      <c r="AC293" t="s">
        <v>672</v>
      </c>
      <c r="AG293">
        <v>0</v>
      </c>
      <c r="AL293">
        <v>0</v>
      </c>
      <c r="AM293" t="s">
        <v>672</v>
      </c>
      <c r="AN293" t="s">
        <v>672</v>
      </c>
      <c r="AO293" t="s">
        <v>672</v>
      </c>
      <c r="AP293">
        <v>0</v>
      </c>
      <c r="AQ293">
        <v>0</v>
      </c>
      <c r="AR293" t="s">
        <v>672</v>
      </c>
      <c r="AS293">
        <v>1</v>
      </c>
      <c r="AT293">
        <v>2</v>
      </c>
    </row>
    <row r="294" spans="1:46">
      <c r="B294">
        <v>300</v>
      </c>
      <c r="C294" t="s">
        <v>511</v>
      </c>
      <c r="D294">
        <v>91</v>
      </c>
      <c r="E294" t="s">
        <v>2358</v>
      </c>
      <c r="F294" t="s">
        <v>2139</v>
      </c>
      <c r="G294" t="s">
        <v>2044</v>
      </c>
      <c r="H294" t="s">
        <v>2045</v>
      </c>
      <c r="I294" t="s">
        <v>2042</v>
      </c>
      <c r="J294" t="s">
        <v>704</v>
      </c>
      <c r="K294" t="s">
        <v>677</v>
      </c>
      <c r="L294" t="s">
        <v>2046</v>
      </c>
      <c r="M294" t="s">
        <v>681</v>
      </c>
      <c r="N294" t="s">
        <v>681</v>
      </c>
      <c r="O294" t="s">
        <v>750</v>
      </c>
      <c r="P294" t="s">
        <v>681</v>
      </c>
      <c r="Q294" s="2">
        <v>1000000</v>
      </c>
      <c r="R294" t="s">
        <v>2043</v>
      </c>
      <c r="S294">
        <v>505045363</v>
      </c>
      <c r="T294">
        <v>54</v>
      </c>
      <c r="U294" t="s">
        <v>1111</v>
      </c>
      <c r="V294" t="s">
        <v>681</v>
      </c>
      <c r="X294" t="s">
        <v>2359</v>
      </c>
      <c r="Z294" s="1">
        <v>45457</v>
      </c>
      <c r="AA294">
        <v>1</v>
      </c>
      <c r="AB294" t="s">
        <v>672</v>
      </c>
      <c r="AC294" t="s">
        <v>672</v>
      </c>
      <c r="AG294">
        <v>0</v>
      </c>
      <c r="AL294">
        <v>0</v>
      </c>
      <c r="AM294" t="s">
        <v>672</v>
      </c>
      <c r="AN294" t="s">
        <v>672</v>
      </c>
      <c r="AO294" t="s">
        <v>672</v>
      </c>
      <c r="AP294">
        <v>0</v>
      </c>
      <c r="AQ294">
        <v>0</v>
      </c>
      <c r="AR294" t="s">
        <v>672</v>
      </c>
      <c r="AS294">
        <v>1</v>
      </c>
      <c r="AT294">
        <v>2</v>
      </c>
    </row>
    <row r="295" spans="1:46">
      <c r="B295">
        <v>301</v>
      </c>
      <c r="C295" t="s">
        <v>501</v>
      </c>
      <c r="D295">
        <v>93</v>
      </c>
      <c r="E295" t="s">
        <v>2360</v>
      </c>
      <c r="F295" t="s">
        <v>2139</v>
      </c>
      <c r="G295" t="s">
        <v>1343</v>
      </c>
      <c r="H295" t="s">
        <v>2049</v>
      </c>
      <c r="I295" t="s">
        <v>2047</v>
      </c>
      <c r="J295" t="s">
        <v>704</v>
      </c>
      <c r="K295" t="s">
        <v>677</v>
      </c>
      <c r="L295" t="s">
        <v>2050</v>
      </c>
      <c r="M295" t="s">
        <v>681</v>
      </c>
      <c r="N295" t="s">
        <v>681</v>
      </c>
      <c r="O295" t="s">
        <v>750</v>
      </c>
      <c r="P295" t="s">
        <v>681</v>
      </c>
      <c r="Q295" t="s">
        <v>2306</v>
      </c>
      <c r="R295" t="s">
        <v>2048</v>
      </c>
      <c r="S295" t="s">
        <v>2361</v>
      </c>
      <c r="T295">
        <v>54</v>
      </c>
      <c r="U295" t="s">
        <v>1111</v>
      </c>
      <c r="V295" t="s">
        <v>681</v>
      </c>
      <c r="W295" t="s">
        <v>681</v>
      </c>
      <c r="X295" t="s">
        <v>2362</v>
      </c>
      <c r="Y295" t="s">
        <v>681</v>
      </c>
      <c r="Z295" s="1">
        <v>45457</v>
      </c>
      <c r="AA295">
        <v>1</v>
      </c>
      <c r="AB295" t="s">
        <v>672</v>
      </c>
      <c r="AC295" t="s">
        <v>672</v>
      </c>
      <c r="AG295">
        <v>0</v>
      </c>
      <c r="AL295">
        <v>0</v>
      </c>
      <c r="AM295" t="s">
        <v>672</v>
      </c>
      <c r="AN295" t="s">
        <v>672</v>
      </c>
      <c r="AO295" t="s">
        <v>672</v>
      </c>
      <c r="AP295">
        <v>0</v>
      </c>
      <c r="AQ295">
        <v>0</v>
      </c>
      <c r="AR295" t="s">
        <v>672</v>
      </c>
      <c r="AS295">
        <v>1</v>
      </c>
      <c r="AT295">
        <v>2</v>
      </c>
    </row>
    <row r="296" spans="1:46">
      <c r="B296">
        <v>302</v>
      </c>
      <c r="C296" t="s">
        <v>161</v>
      </c>
      <c r="D296">
        <v>94</v>
      </c>
      <c r="E296" t="s">
        <v>2363</v>
      </c>
      <c r="F296" t="s">
        <v>2127</v>
      </c>
      <c r="G296" t="s">
        <v>2052</v>
      </c>
      <c r="H296" t="s">
        <v>2053</v>
      </c>
      <c r="I296" t="s">
        <v>2051</v>
      </c>
      <c r="J296" t="s">
        <v>704</v>
      </c>
      <c r="K296" t="s">
        <v>677</v>
      </c>
      <c r="L296" t="s">
        <v>2054</v>
      </c>
    </row>
    <row r="297" spans="1:46">
      <c r="A297" t="s">
        <v>201</v>
      </c>
      <c r="B297">
        <v>303</v>
      </c>
      <c r="C297" t="s">
        <v>2055</v>
      </c>
      <c r="D297">
        <v>94</v>
      </c>
      <c r="E297" t="s">
        <v>2055</v>
      </c>
      <c r="F297" t="s">
        <v>2224</v>
      </c>
      <c r="G297" t="s">
        <v>2059</v>
      </c>
      <c r="H297" t="s">
        <v>2060</v>
      </c>
      <c r="I297" t="s">
        <v>2058</v>
      </c>
      <c r="J297" t="s">
        <v>676</v>
      </c>
      <c r="K297" t="s">
        <v>677</v>
      </c>
      <c r="L297" t="s">
        <v>2061</v>
      </c>
      <c r="M297" t="s">
        <v>2062</v>
      </c>
      <c r="N297">
        <v>182</v>
      </c>
      <c r="O297" t="s">
        <v>687</v>
      </c>
      <c r="P297" t="s">
        <v>2063</v>
      </c>
      <c r="Q297" t="s">
        <v>681</v>
      </c>
      <c r="R297" t="s">
        <v>681</v>
      </c>
      <c r="S297">
        <v>103330124</v>
      </c>
      <c r="T297">
        <v>54</v>
      </c>
      <c r="U297" t="s">
        <v>1111</v>
      </c>
      <c r="V297" t="s">
        <v>681</v>
      </c>
      <c r="W297" t="s">
        <v>2057</v>
      </c>
      <c r="X297" t="s">
        <v>2056</v>
      </c>
      <c r="Z297" s="1">
        <v>45320</v>
      </c>
      <c r="AA297">
        <v>1</v>
      </c>
      <c r="AB297" t="s">
        <v>672</v>
      </c>
      <c r="AC297" t="s">
        <v>672</v>
      </c>
      <c r="AG297">
        <v>0</v>
      </c>
      <c r="AL297">
        <v>0</v>
      </c>
      <c r="AM297" t="s">
        <v>672</v>
      </c>
      <c r="AN297" t="s">
        <v>672</v>
      </c>
      <c r="AO297" t="s">
        <v>672</v>
      </c>
      <c r="AP297">
        <v>0</v>
      </c>
      <c r="AQ297">
        <v>0</v>
      </c>
      <c r="AR297" t="s">
        <v>672</v>
      </c>
      <c r="AS297">
        <v>1</v>
      </c>
      <c r="AT297">
        <v>2</v>
      </c>
    </row>
    <row r="298" spans="1:46">
      <c r="A298" t="s">
        <v>211</v>
      </c>
      <c r="B298">
        <v>304</v>
      </c>
      <c r="C298" t="s">
        <v>2364</v>
      </c>
      <c r="D298">
        <v>95</v>
      </c>
      <c r="E298" t="s">
        <v>2364</v>
      </c>
      <c r="F298" t="s">
        <v>2365</v>
      </c>
      <c r="G298" t="s">
        <v>2068</v>
      </c>
      <c r="H298" t="s">
        <v>2069</v>
      </c>
      <c r="I298" t="s">
        <v>2066</v>
      </c>
      <c r="J298" t="s">
        <v>676</v>
      </c>
      <c r="K298" t="s">
        <v>677</v>
      </c>
      <c r="L298" t="s">
        <v>2070</v>
      </c>
      <c r="M298" t="s">
        <v>2071</v>
      </c>
      <c r="N298">
        <v>457</v>
      </c>
      <c r="O298" t="s">
        <v>742</v>
      </c>
      <c r="P298" t="s">
        <v>2072</v>
      </c>
      <c r="R298" t="s">
        <v>2067</v>
      </c>
      <c r="S298">
        <v>707022259</v>
      </c>
      <c r="T298">
        <v>54</v>
      </c>
      <c r="U298" t="s">
        <v>1111</v>
      </c>
      <c r="V298" t="s">
        <v>2065</v>
      </c>
      <c r="X298" t="s">
        <v>2064</v>
      </c>
      <c r="Z298" s="1">
        <v>45545</v>
      </c>
      <c r="AA298">
        <v>1</v>
      </c>
      <c r="AB298" t="s">
        <v>672</v>
      </c>
      <c r="AC298" t="s">
        <v>2324</v>
      </c>
      <c r="AG298">
        <v>0</v>
      </c>
      <c r="AL298">
        <v>0</v>
      </c>
      <c r="AM298" t="s">
        <v>672</v>
      </c>
      <c r="AN298" t="s">
        <v>672</v>
      </c>
      <c r="AO298" t="s">
        <v>672</v>
      </c>
      <c r="AP298">
        <v>0</v>
      </c>
      <c r="AQ298">
        <v>0</v>
      </c>
      <c r="AR298" t="s">
        <v>672</v>
      </c>
      <c r="AS298">
        <v>1</v>
      </c>
      <c r="AT2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E-impôts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 KEYMAN</dc:creator>
  <cp:lastModifiedBy>DCK OFFICE MANAGER</cp:lastModifiedBy>
  <dcterms:created xsi:type="dcterms:W3CDTF">2024-10-31T09:00:01Z</dcterms:created>
  <dcterms:modified xsi:type="dcterms:W3CDTF">2025-08-12T14:05:23Z</dcterms:modified>
</cp:coreProperties>
</file>